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emini\"/>
    </mc:Choice>
  </mc:AlternateContent>
  <xr:revisionPtr revIDLastSave="0" documentId="13_ncr:1_{61D9C096-0763-4A33-B745-73C0831082C3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8" r:id="rId8"/>
    <pivotCache cacheId="14" r:id="rId9"/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<sst xmlns="http://schemas.openxmlformats.org/spreadsheetml/2006/main" count="2191" uniqueCount="512">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</sst>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22</c:v>
                </c:pt>
                <c:pt idx="1">
                  <c:v>2</c:v>
                </c:pt>
                <c:pt idx="2">
                  <c:v>4</c:v>
                </c:pt>
                <c:pt idx="5">
                  <c:v>1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1</c:v>
                </c:pt>
                <c:pt idx="1">
                  <c:v>24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7-474A-9336-00B938234E1C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1">
                  <c:v>1</c:v>
                </c:pt>
                <c:pt idx="2">
                  <c:v>20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7-474A-9336-00B938234E1C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1">
                  <c:v>1</c:v>
                </c:pt>
                <c:pt idx="3">
                  <c:v>29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7-474A-9336-00B938234E1C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4</c:v>
                </c:pt>
                <c:pt idx="4">
                  <c:v>27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C7-474A-9336-00B938234E1C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C7-474A-9336-00B938234E1C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2">
                  <c:v>1</c:v>
                </c:pt>
                <c:pt idx="4">
                  <c:v>1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C7-474A-9336-00B93823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5</c:v>
                </c:pt>
                <c:pt idx="1">
                  <c:v>22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13</c:v>
                </c:pt>
                <c:pt idx="1">
                  <c:v>74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C-4818-A8D1-430103A56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18</c:v>
                </c:pt>
                <c:pt idx="2">
                  <c:v>1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1">
                  <c:v>17</c:v>
                </c:pt>
                <c:pt idx="3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3-4A2B-8656-7290BC6B6E79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1">
                  <c:v>3</c:v>
                </c:pt>
                <c:pt idx="2">
                  <c:v>17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3-4A2B-8656-7290BC6B6E79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3-4A2B-8656-7290BC6B6E79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0">
                  <c:v>2</c:v>
                </c:pt>
                <c:pt idx="4">
                  <c:v>20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3-4A2B-8656-7290BC6B6E79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2">
                  <c:v>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A3-4A2B-8656-7290BC6B6E79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A3-4A2B-8656-7290BC6B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13</c:v>
                </c:pt>
                <c:pt idx="1">
                  <c:v>43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7-4726-B8EF-71DAE1E08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9</c:v>
                </c:pt>
                <c:pt idx="2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B-4FBC-9588-E0DEF0BDFE59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B-4FBC-9588-E0DEF0BDFE59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B-4FBC-9588-E0DEF0BDFE59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7B-4FBC-9588-E0DEF0BDFE59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2">
                  <c:v>2</c:v>
                </c:pt>
                <c:pt idx="5">
                  <c:v>10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B-4FBC-9588-E0DEF0BDFE59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7B-4FBC-9588-E0DEF0BDF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Grok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13</c:v>
                </c:pt>
                <c:pt idx="1">
                  <c:v>17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B-4438-806D-C7A71ABAC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9.962010995368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8">
        <s v="NA"/>
        <s v="IRAQ"/>
        <s v="GULF"/>
        <s v="MSA"/>
        <s v="LEV"/>
        <s v="YEM"/>
        <s v="NILE"/>
        <m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9.962011342592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8">
        <s v="LEV"/>
        <s v="IRAQ"/>
        <s v="GULF"/>
        <s v="NILE"/>
        <s v="NA"/>
        <s v="MSA"/>
        <s v="YEM"/>
        <m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9.962011805554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8">
        <s v="NILE"/>
        <s v="MSA"/>
        <s v="GULF"/>
        <s v="IRAQ"/>
        <s v="YEM"/>
        <s v="NA"/>
        <s v="LEV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1"/>
    <x v="1"/>
    <x v="0"/>
  </r>
  <r>
    <s v="يا ولد، ليش ما رديت على اتصالاتي؟ كنت با أحاول أتصل بك من الصبح."/>
    <x v="0"/>
    <x v="2"/>
    <x v="2"/>
    <x v="1"/>
  </r>
  <r>
    <s v=" أنا شفت الفيلم اللي نزل الأسبوع اللي فات، جان كلش حلو وبي ضحك بنفس الوقت."/>
    <x v="0"/>
    <x v="1"/>
    <x v="1"/>
    <x v="0"/>
  </r>
  <r>
    <s v="شكو ماكو."/>
    <x v="1"/>
    <x v="1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1"/>
    <x v="3"/>
    <x v="1"/>
  </r>
  <r>
    <s v="هل يمكنني أن أكل كل حبة الفاكهة هذه ؟"/>
    <x v="2"/>
    <x v="3"/>
    <x v="4"/>
    <x v="0"/>
  </r>
  <r>
    <s v="أنا تعبان شوية اليوم، ما نمت زين البارحة، يمكن أريد أرتاح شوية."/>
    <x v="0"/>
    <x v="1"/>
    <x v="1"/>
    <x v="0"/>
  </r>
  <r>
    <s v="يصير ادفع بجيكات سياحية؟"/>
    <x v="1"/>
    <x v="2"/>
    <x v="3"/>
    <x v="0"/>
  </r>
  <r>
    <s v="عليك أن تحجز مقدما ."/>
    <x v="1"/>
    <x v="3"/>
    <x v="4"/>
    <x v="0"/>
  </r>
  <r>
    <s v="اشعر بالتعب الشديد . من فضلك استدع طبيباً ."/>
    <x v="2"/>
    <x v="3"/>
    <x v="4"/>
    <x v="0"/>
  </r>
  <r>
    <s v="يا شباب، اكو مكان يبيع أثاث مستعمل نظيف؟"/>
    <x v="2"/>
    <x v="1"/>
    <x v="1"/>
    <x v="0"/>
  </r>
  <r>
    <s v="الحساب من فضلك ."/>
    <x v="1"/>
    <x v="3"/>
    <x v="4"/>
    <x v="0"/>
  </r>
  <r>
    <s v="أنا تعبان شوي اليوم، ما نمت منيح الليلة الماضية، يمكن بدي أرتاح شوي."/>
    <x v="0"/>
    <x v="4"/>
    <x v="5"/>
    <x v="0"/>
  </r>
  <r>
    <s v="أبا عطرلو ما عليك أمر."/>
    <x v="1"/>
    <x v="2"/>
    <x v="3"/>
    <x v="0"/>
  </r>
  <r>
    <s v=" يا ناس، حدا بيعرف إيمتى بتخلص الامتحانات؟ خلص زهقنا من الدراسة."/>
    <x v="0"/>
    <x v="4"/>
    <x v="5"/>
    <x v="0"/>
  </r>
  <r>
    <s v="واش هاد القطار كايتوقف فبالتيمور؟"/>
    <x v="2"/>
    <x v="0"/>
    <x v="0"/>
    <x v="0"/>
  </r>
  <r>
    <s v="رجاءا اكتب عنوانك هوني."/>
    <x v="1"/>
    <x v="4"/>
    <x v="1"/>
    <x v="1"/>
  </r>
  <r>
    <s v="يبن عمي، اسمعني دقيقه! "/>
    <x v="1"/>
    <x v="2"/>
    <x v="2"/>
    <x v="1"/>
  </r>
  <r>
    <s v="شا اتصل ب واحد."/>
    <x v="1"/>
    <x v="5"/>
    <x v="2"/>
    <x v="0"/>
  </r>
  <r>
    <s v="على طول لو سمحت ."/>
    <x v="1"/>
    <x v="6"/>
    <x v="6"/>
    <x v="0"/>
  </r>
  <r>
    <s v="دير بالك، السقف قصير."/>
    <x v="1"/>
    <x v="4"/>
    <x v="5"/>
    <x v="0"/>
  </r>
  <r>
    <s v="إزيكوا يا جماعة؟"/>
    <x v="1"/>
    <x v="6"/>
    <x v="6"/>
    <x v="0"/>
  </r>
  <r>
    <s v="وأنا جالس أنقز هنا أستنى"/>
    <x v="1"/>
    <x v="6"/>
    <x v="2"/>
    <x v="1"/>
  </r>
  <r>
    <s v="حدا بيعرف إيمتى بتخلص الامتحانات؟ "/>
    <x v="2"/>
    <x v="4"/>
    <x v="5"/>
    <x v="0"/>
  </r>
  <r>
    <s v="لا أريد شيئاً آخر ، من فضلك ."/>
    <x v="2"/>
    <x v="3"/>
    <x v="4"/>
    <x v="0"/>
  </r>
  <r>
    <s v="تركت شنطتي بشي مطرح."/>
    <x v="1"/>
    <x v="2"/>
    <x v="5"/>
    <x v="1"/>
  </r>
  <r>
    <s v="لكن التكلفة تزداد , أليس كذلك ؟"/>
    <x v="2"/>
    <x v="3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2"/>
    <x v="3"/>
    <x v="0"/>
  </r>
  <r>
    <s v="هل يمكنك أن تقوم بضبطها الآن ؟"/>
    <x v="2"/>
    <x v="3"/>
    <x v="4"/>
    <x v="0"/>
  </r>
  <r>
    <s v="اي، بعض الغرف تطل على الحديقة، بس وايد غالية."/>
    <x v="2"/>
    <x v="2"/>
    <x v="3"/>
    <x v="0"/>
  </r>
  <r>
    <s v="هاي الغرفة كولش صغيره."/>
    <x v="1"/>
    <x v="1"/>
    <x v="1"/>
    <x v="0"/>
  </r>
  <r>
    <s v=" جنت أحاول أتصل بيك من الصبح."/>
    <x v="2"/>
    <x v="1"/>
    <x v="1"/>
    <x v="0"/>
  </r>
  <r>
    <s v="بطني واجعاني شديد"/>
    <x v="1"/>
    <x v="6"/>
    <x v="6"/>
    <x v="0"/>
  </r>
  <r>
    <s v="الجو زوين برا"/>
    <x v="1"/>
    <x v="0"/>
    <x v="0"/>
    <x v="0"/>
  </r>
  <r>
    <s v="شو عم تعمل؟"/>
    <x v="1"/>
    <x v="4"/>
    <x v="5"/>
    <x v="0"/>
  </r>
  <r>
    <s v="اشتي العب تنس."/>
    <x v="1"/>
    <x v="5"/>
    <x v="2"/>
    <x v="0"/>
  </r>
  <r>
    <s v="بسرعة قبل ما السوق يسدّ."/>
    <x v="1"/>
    <x v="6"/>
    <x v="2"/>
    <x v="1"/>
  </r>
  <r>
    <s v="في واحد خبط فيا. وبعديها ملقتش محفظتي."/>
    <x v="2"/>
    <x v="6"/>
    <x v="6"/>
    <x v="0"/>
  </r>
  <r>
    <s v="عاوز أعمل لي تأمين."/>
    <x v="1"/>
    <x v="6"/>
    <x v="6"/>
    <x v="0"/>
  </r>
  <r>
    <s v="اكو اي ليموزين؟"/>
    <x v="1"/>
    <x v="1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6"/>
    <x v="6"/>
    <x v="0"/>
  </r>
  <r>
    <s v="تعال نشرب لنا كاسة شاهي بالحليب ونسمر شوية"/>
    <x v="2"/>
    <x v="6"/>
    <x v="2"/>
    <x v="1"/>
  </r>
  <r>
    <s v="بأثر شي اذا دقيتلك بعدين؟"/>
    <x v="1"/>
    <x v="2"/>
    <x v="5"/>
    <x v="1"/>
  </r>
  <r>
    <s v="على الساحل الشرقي، حتلاقي كمان أماكن مشهورة، زي نيويورك، وواشنطن دي سي وبوسطن."/>
    <x v="0"/>
    <x v="6"/>
    <x v="6"/>
    <x v="0"/>
  </r>
  <r>
    <s v="ازاي أرجع؟"/>
    <x v="1"/>
    <x v="6"/>
    <x v="6"/>
    <x v="0"/>
  </r>
  <r>
    <s v="كم من الوقت يبغاله من هنا إلى سيتي مول ؟"/>
    <x v="2"/>
    <x v="2"/>
    <x v="3"/>
    <x v="0"/>
  </r>
  <r>
    <s v="أيمكنني أن أبقى ثلاث ليالٍ ؟"/>
    <x v="2"/>
    <x v="3"/>
    <x v="4"/>
    <x v="0"/>
  </r>
  <r>
    <s v="بينتسائل أيش أشل منه؟"/>
    <x v="1"/>
    <x v="5"/>
    <x v="2"/>
    <x v="0"/>
  </r>
  <r>
    <s v="وين رايحين اليوم ؟"/>
    <x v="1"/>
    <x v="2"/>
    <x v="3"/>
    <x v="0"/>
  </r>
  <r>
    <s v="حابب أعمل إتصال لبرات البلد عاليابان."/>
    <x v="2"/>
    <x v="6"/>
    <x v="5"/>
    <x v="1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2"/>
    <x v="3"/>
    <x v="0"/>
  </r>
  <r>
    <s v="تعرف كيف الناس يجوا مثل الجراد وما يخلو شي وراهم"/>
    <x v="2"/>
    <x v="2"/>
    <x v="2"/>
    <x v="1"/>
  </r>
  <r>
    <s v="عايز الهدوم دى تتكوى."/>
    <x v="1"/>
    <x v="6"/>
    <x v="6"/>
    <x v="0"/>
  </r>
  <r>
    <s v="دخيلك في عندك اكبر؟"/>
    <x v="1"/>
    <x v="2"/>
    <x v="5"/>
    <x v="1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6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3"/>
    <x v="4"/>
    <x v="0"/>
  </r>
  <r>
    <s v="ممكن تحولي اياهم لدولارات، لو سمحت؟"/>
    <x v="2"/>
    <x v="6"/>
    <x v="5"/>
    <x v="1"/>
  </r>
  <r>
    <s v="يا صاحبي، متى با ترد الفلوس؟ ولا تشتيني أنسى الموضوع"/>
    <x v="0"/>
    <x v="5"/>
    <x v="2"/>
    <x v="0"/>
  </r>
  <r>
    <s v="أقول لا تسولف بس."/>
    <x v="1"/>
    <x v="2"/>
    <x v="3"/>
    <x v="0"/>
  </r>
  <r>
    <s v="أبا مجبوس دياي؟"/>
    <x v="1"/>
    <x v="2"/>
    <x v="3"/>
    <x v="0"/>
  </r>
  <r>
    <s v="اكو مطعم قريب هوني؟"/>
    <x v="1"/>
    <x v="1"/>
    <x v="1"/>
    <x v="0"/>
  </r>
  <r>
    <s v="نعم إنها جميلة بالفعل."/>
    <x v="1"/>
    <x v="3"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1"/>
    <x v="1"/>
    <x v="1"/>
  </r>
  <r>
    <s v="مشكور ما قصرت. انا وسيد كوقوري مستانسين ان جينا لندن عشان نجتمع معاك وانت واحد من أهم شركائنا."/>
    <x v="1"/>
    <x v="2"/>
    <x v="2"/>
    <x v="0"/>
  </r>
  <r>
    <s v="أعتقد إنت المفروض تقدر تجيب كل الحاجات من السوبر ماركت. لو ماقدرتش، متقلقش. أنا هاروح الصيدلية بكرة."/>
    <x v="1"/>
    <x v="3"/>
    <x v="3"/>
    <x v="0"/>
  </r>
  <r>
    <s v="موتري خرب، لو سمحت تعال سير خده."/>
    <x v="0"/>
    <x v="2"/>
    <x v="2"/>
    <x v="0"/>
  </r>
  <r>
    <s v="شلونكم اليوم؟ الجو اليوم وايد غبار، لازم الواحد يلبس كمامة."/>
    <x v="1"/>
    <x v="2"/>
    <x v="2"/>
    <x v="0"/>
  </r>
  <r>
    <s v="نعم، سيد تانكا. اكو رسالتين الك."/>
    <x v="0"/>
    <x v="1"/>
    <x v="4"/>
    <x v="0"/>
  </r>
  <r>
    <s v="ماكو أكل اليوم؟"/>
    <x v="2"/>
    <x v="1"/>
    <x v="4"/>
    <x v="0"/>
  </r>
  <r>
    <s v="بغيتي تبدل هاد العدسات بشي وحدين قصاح؟"/>
    <x v="0"/>
    <x v="4"/>
    <x v="5"/>
    <x v="0"/>
  </r>
  <r>
    <s v="عليك أن تحجز مقدما ."/>
    <x v="2"/>
    <x v="5"/>
    <x v="6"/>
    <x v="0"/>
  </r>
  <r>
    <s v="أيمكنني أن أبقى ثلاث ليالٍ ؟"/>
    <x v="0"/>
    <x v="5"/>
    <x v="6"/>
    <x v="0"/>
  </r>
  <r>
    <s v="هل اكو مطعم قريب هوني؟"/>
    <x v="2"/>
    <x v="1"/>
    <x v="4"/>
    <x v="0"/>
  </r>
  <r>
    <s v="كيف حالك يا رجال؟ إن شاء الله أمورك طيبة وما فيك أي بلى"/>
    <x v="1"/>
    <x v="2"/>
    <x v="1"/>
    <x v="1"/>
  </r>
  <r>
    <s v="كلا . إني ياباني ."/>
    <x v="2"/>
    <x v="1"/>
    <x v="6"/>
    <x v="1"/>
  </r>
  <r>
    <s v="وين ممكن ألكى محل يبيع أثاث مستعمل نظيف؟"/>
    <x v="0"/>
    <x v="0"/>
    <x v="4"/>
    <x v="1"/>
  </r>
  <r>
    <s v="فين غاديين اليوم العشية؟"/>
    <x v="2"/>
    <x v="4"/>
    <x v="5"/>
    <x v="0"/>
  </r>
  <r>
    <s v="لك شو عم تساوي؟"/>
    <x v="2"/>
    <x v="0"/>
    <x v="0"/>
    <x v="0"/>
  </r>
  <r>
    <s v="أبا جاي مع ليمون لو ما عليك أمر."/>
    <x v="0"/>
    <x v="2"/>
    <x v="2"/>
    <x v="0"/>
  </r>
  <r>
    <s v="حابب أعمل إتصال لبرات البلد عاليابان ."/>
    <x v="0"/>
    <x v="3"/>
    <x v="0"/>
    <x v="1"/>
  </r>
  <r>
    <s v="ما بينفع الكلام ده ياخي"/>
    <x v="2"/>
    <x v="3"/>
    <x v="3"/>
    <x v="0"/>
  </r>
  <r>
    <s v="اصعد السلم ثم اتجه يميناً . إنه على يسارك ."/>
    <x v="0"/>
    <x v="5"/>
    <x v="6"/>
    <x v="0"/>
  </r>
  <r>
    <s v="وش تبي مني ؟"/>
    <x v="2"/>
    <x v="2"/>
    <x v="2"/>
    <x v="0"/>
  </r>
  <r>
    <s v="شي بيبسي زيرو لأني مسوي دايت ؟"/>
    <x v="0"/>
    <x v="2"/>
    <x v="2"/>
    <x v="0"/>
  </r>
  <r>
    <s v="كيف بدك البيض؟"/>
    <x v="2"/>
    <x v="0"/>
    <x v="0"/>
    <x v="0"/>
  </r>
  <r>
    <s v="بسرعة قبل ما السوق يسدّ"/>
    <x v="2"/>
    <x v="0"/>
    <x v="1"/>
    <x v="1"/>
  </r>
  <r>
    <s v="يا صاحبي ليش تأخرت؟ قد لي ساعتين وأنا جالس أنقز هنا أستنى، لو دريت كان نمت لي شوية"/>
    <x v="1"/>
    <x v="2"/>
    <x v="1"/>
    <x v="1"/>
  </r>
  <r>
    <s v="أبا عطر لو سمحت."/>
    <x v="2"/>
    <x v="2"/>
    <x v="2"/>
    <x v="0"/>
  </r>
  <r>
    <s v="هل يمكن أن أترك هذه العربة خارج الردهة ؟"/>
    <x v="0"/>
    <x v="5"/>
    <x v="6"/>
    <x v="0"/>
  </r>
  <r>
    <s v="أنا داير أسافر."/>
    <x v="2"/>
    <x v="3"/>
    <x v="3"/>
    <x v="0"/>
  </r>
  <r>
    <s v=" البيت الجديد وايد كبير وواسع."/>
    <x v="0"/>
    <x v="2"/>
    <x v="2"/>
    <x v="0"/>
  </r>
  <r>
    <s v="واش هاد القطار كايتوقف فبالتيمور؟"/>
    <x v="0"/>
    <x v="4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1"/>
    <x v="4"/>
    <x v="0"/>
  </r>
  <r>
    <s v="ما يمكنش الواحد ينسى عائلتو و صحابو، خاصنا نتواصلو معاهم ديما ونزوروهم"/>
    <x v="1"/>
    <x v="4"/>
    <x v="5"/>
    <x v="0"/>
  </r>
  <r>
    <s v="ما كان يجب أن يكون كثيراً هكذا ."/>
    <x v="0"/>
    <x v="5"/>
    <x v="6"/>
    <x v="0"/>
  </r>
  <r>
    <s v="الملابس الطويلة هي الموضة الآن ."/>
    <x v="0"/>
    <x v="5"/>
    <x v="6"/>
    <x v="0"/>
  </r>
  <r>
    <s v="عايز أمشي الدكان ."/>
    <x v="2"/>
    <x v="3"/>
    <x v="3"/>
    <x v="0"/>
  </r>
  <r>
    <s v="وين رايح بهذا الوقت؟ الدنيا ليل والدرب موحش، خليك شوية نفرتح لنا كاسة شاهي"/>
    <x v="1"/>
    <x v="2"/>
    <x v="1"/>
    <x v="1"/>
  </r>
  <r>
    <s v="وين با نروح اليوم العصر؟ الجو حلو برا وبا نتمشى شوية أو نجلس في مكان حلو."/>
    <x v="1"/>
    <x v="2"/>
    <x v="1"/>
    <x v="1"/>
  </r>
  <r>
    <s v="أقول لا تسولف وياي"/>
    <x v="2"/>
    <x v="2"/>
    <x v="2"/>
    <x v="0"/>
  </r>
  <r>
    <s v=" أنا أريد أنزل للسوك اليوم أشتري بعض الأغراض للبيت، محتاجين هواي شغلات."/>
    <x v="1"/>
    <x v="1"/>
    <x v="4"/>
    <x v="0"/>
  </r>
  <r>
    <s v="من فضلك غادر الفندق قبل التاسعة ."/>
    <x v="0"/>
    <x v="5"/>
    <x v="6"/>
    <x v="0"/>
  </r>
  <r>
    <s v="يا ولدي، علاش ما جاوبتيش على التيليفون؟"/>
    <x v="0"/>
    <x v="4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4"/>
    <x v="5"/>
    <x v="0"/>
  </r>
  <r>
    <s v="بمجرد النظر إليها تبدو وكأنك قد التقطت بعض العدوى منها ."/>
    <x v="1"/>
    <x v="5"/>
    <x v="6"/>
    <x v="0"/>
  </r>
  <r>
    <s v="عايز الهدوم دي تتكوى."/>
    <x v="2"/>
    <x v="3"/>
    <x v="3"/>
    <x v="0"/>
  </r>
  <r>
    <s v="لا أريد شيئاً آخر ."/>
    <x v="2"/>
    <x v="5"/>
    <x v="6"/>
    <x v="0"/>
  </r>
  <r>
    <s v="ازيك عامل ايه النهارده؟"/>
    <x v="2"/>
    <x v="3"/>
    <x v="3"/>
    <x v="0"/>
  </r>
  <r>
    <s v="اني حتى مشي ما جنت امشي"/>
    <x v="2"/>
    <x v="1"/>
    <x v="4"/>
    <x v="0"/>
  </r>
  <r>
    <s v="أبا مجبوس دياي عل الفطور"/>
    <x v="2"/>
    <x v="2"/>
    <x v="2"/>
    <x v="0"/>
  </r>
  <r>
    <s v="أنظر إلى جمالها الفاتن."/>
    <x v="2"/>
    <x v="5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2"/>
    <x v="1"/>
    <x v="1"/>
  </r>
  <r>
    <s v="طوالي عليك الله ."/>
    <x v="2"/>
    <x v="6"/>
    <x v="3"/>
    <x v="1"/>
  </r>
  <r>
    <s v="لقد كانت المزارات في اليونان تاريخية ."/>
    <x v="0"/>
    <x v="5"/>
    <x v="6"/>
    <x v="0"/>
  </r>
  <r>
    <s v="ناس قليلين اللي هايكونوا في الجولة الاختيارية."/>
    <x v="0"/>
    <x v="0"/>
    <x v="3"/>
    <x v="1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5"/>
    <x v="6"/>
    <x v="0"/>
  </r>
  <r>
    <s v="باش نسافر من اما مطار؟"/>
    <x v="2"/>
    <x v="4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2"/>
    <x v="1"/>
    <x v="1"/>
  </r>
  <r>
    <s v="ازاي أرجع؟"/>
    <x v="2"/>
    <x v="3"/>
    <x v="3"/>
    <x v="0"/>
  </r>
  <r>
    <s v="هاي الغرفة كولش صغيره."/>
    <x v="2"/>
    <x v="1"/>
    <x v="4"/>
    <x v="0"/>
  </r>
  <r>
    <s v="على الساحل الشرقي، حتلاقي كمان أماكن مشهورة، زي نيويورك، وواشنطن دي سي وبوسطن."/>
    <x v="1"/>
    <x v="0"/>
    <x v="3"/>
    <x v="1"/>
  </r>
  <r>
    <s v="كيف حالك اليوم؟ إن شاء الله أنك دحّان وما فيك شي."/>
    <x v="0"/>
    <x v="2"/>
    <x v="1"/>
    <x v="1"/>
  </r>
  <r>
    <s v="اكو اي ليموزين؟"/>
    <x v="2"/>
    <x v="1"/>
    <x v="4"/>
    <x v="0"/>
  </r>
  <r>
    <s v="أنا باغي نمشي المول."/>
    <x v="2"/>
    <x v="4"/>
    <x v="5"/>
    <x v="0"/>
  </r>
  <r>
    <s v="ممكن ناخد  لينا أوضة على البحر؟"/>
    <x v="0"/>
    <x v="3"/>
    <x v="3"/>
    <x v="0"/>
  </r>
  <r>
    <s v="راني حاب حقيبة ماكياج."/>
    <x v="2"/>
    <x v="4"/>
    <x v="5"/>
    <x v="0"/>
  </r>
  <r>
    <s v="ماعنديش موعد، بلحاق الحالة مستعجلة."/>
    <x v="0"/>
    <x v="4"/>
    <x v="5"/>
    <x v="0"/>
  </r>
  <r>
    <s v="عمي، با أفكر أتزوج بنتكم."/>
    <x v="2"/>
    <x v="2"/>
    <x v="1"/>
    <x v="1"/>
  </r>
  <r>
    <s v="تروم تساعد رفيقج؟"/>
    <x v="2"/>
    <x v="4"/>
    <x v="2"/>
    <x v="1"/>
  </r>
  <r>
    <s v="ممكن تحولي اياهم لدولارات، لو سمحت؟"/>
    <x v="0"/>
    <x v="3"/>
    <x v="0"/>
    <x v="1"/>
  </r>
  <r>
    <s v="اشتي العب تنس."/>
    <x v="2"/>
    <x v="6"/>
    <x v="1"/>
    <x v="0"/>
  </r>
  <r>
    <s v="داير أرسله بالبريد البري."/>
    <x v="2"/>
    <x v="3"/>
    <x v="3"/>
    <x v="0"/>
  </r>
  <r>
    <s v="في واحد خبط فيا. وبعديها ملقتش محفظتي."/>
    <x v="0"/>
    <x v="3"/>
    <x v="3"/>
    <x v="0"/>
  </r>
  <r>
    <s v="البرفان دة بكام؟"/>
    <x v="2"/>
    <x v="3"/>
    <x v="3"/>
    <x v="0"/>
  </r>
  <r>
    <s v="رح أوصل حوالي الساعة تسعة المسا."/>
    <x v="0"/>
    <x v="0"/>
    <x v="0"/>
    <x v="0"/>
  </r>
  <r>
    <s v="هل اكو اي جوله صباحيي؟"/>
    <x v="2"/>
    <x v="1"/>
    <x v="4"/>
    <x v="0"/>
  </r>
  <r>
    <s v="بس عشان هديه تذكارية . انت عارف، ماعندناش النوع ده من التاكسيات في اليابان ."/>
    <x v="1"/>
    <x v="3"/>
    <x v="3"/>
    <x v="0"/>
  </r>
  <r>
    <s v="أنا عيان شوية اليوم، حسيت ما نعستش مزيان البارح."/>
    <x v="0"/>
    <x v="4"/>
    <x v="5"/>
    <x v="0"/>
  </r>
  <r>
    <s v="يصير ادفع بجيكات سياحية؟"/>
    <x v="2"/>
    <x v="2"/>
    <x v="2"/>
    <x v="0"/>
  </r>
  <r>
    <s v="بأثر شي اذا دقيتلك بعدين؟"/>
    <x v="2"/>
    <x v="2"/>
    <x v="0"/>
    <x v="1"/>
  </r>
  <r>
    <s v="ممكن تساعديني في ترتيب الأغراض في الدولاب؟ أنا ما عندي وقت اليوم وبا أريد أخلص الشغل بسرعة."/>
    <x v="1"/>
    <x v="2"/>
    <x v="1"/>
    <x v="1"/>
  </r>
  <r>
    <s v="أنا كنبغي نسمع موسيقى هادية قبل ما نعس باش نرتاح."/>
    <x v="0"/>
    <x v="4"/>
    <x v="5"/>
    <x v="0"/>
  </r>
  <r>
    <s v="اطيق احجز اجر-سيارة هوني؟"/>
    <x v="2"/>
    <x v="0"/>
    <x v="4"/>
    <x v="1"/>
  </r>
  <r>
    <s v="عندكم شي ناكله؟ زين باخرج أفحط لي حاجة من الدكان."/>
    <x v="0"/>
    <x v="2"/>
    <x v="1"/>
    <x v="1"/>
  </r>
  <r>
    <s v="مو معقول لهلأ طلبي ما وصل ."/>
    <x v="0"/>
    <x v="0"/>
    <x v="0"/>
    <x v="0"/>
  </r>
  <r>
    <s v=" وين با نروح اليوم؟"/>
    <x v="2"/>
    <x v="2"/>
    <x v="1"/>
    <x v="1"/>
  </r>
  <r>
    <s v="اي بعض الغرف تطل على الحديقة بس وايد غالية."/>
    <x v="0"/>
    <x v="2"/>
    <x v="2"/>
    <x v="0"/>
  </r>
  <r>
    <s v="كم من الوقت يبغاله من هنا لين سيتي هول ؟"/>
    <x v="0"/>
    <x v="2"/>
    <x v="2"/>
    <x v="0"/>
  </r>
  <r>
    <s v="عادي تجوف موتري؟"/>
    <x v="2"/>
    <x v="2"/>
    <x v="2"/>
    <x v="0"/>
  </r>
  <r>
    <s v="هل يمكنك أن تقوم بضبطها الآن ؟"/>
    <x v="0"/>
    <x v="5"/>
    <x v="6"/>
    <x v="0"/>
  </r>
  <r>
    <s v="به هانا اي بقعه يقبلو الغسيل ايام الاحد؟"/>
    <x v="0"/>
    <x v="2"/>
    <x v="1"/>
    <x v="1"/>
  </r>
  <r>
    <s v="جنت أحاول أتصل بيك."/>
    <x v="2"/>
    <x v="1"/>
    <x v="4"/>
    <x v="0"/>
  </r>
  <r>
    <s v="ماشي شي نشتريه."/>
    <x v="2"/>
    <x v="4"/>
    <x v="2"/>
    <x v="1"/>
  </r>
  <r>
    <s v="دخيلك في عندك في اكبر؟"/>
    <x v="2"/>
    <x v="0"/>
    <x v="0"/>
    <x v="0"/>
  </r>
  <r>
    <s v="برشا تعب اليوم."/>
    <x v="2"/>
    <x v="4"/>
    <x v="5"/>
    <x v="0"/>
  </r>
  <r>
    <s v="ماشين وين الليلة؟"/>
    <x v="2"/>
    <x v="4"/>
    <x v="3"/>
    <x v="1"/>
  </r>
  <r>
    <s v="ما أشرب فهوة أني."/>
    <x v="2"/>
    <x v="1"/>
    <x v="4"/>
    <x v="0"/>
  </r>
  <r>
    <s v="ما اقدر اشوف الشاشة زين من هنا. أروم اغير مقعدي؟"/>
    <x v="0"/>
    <x v="2"/>
    <x v="2"/>
    <x v="0"/>
  </r>
  <r>
    <s v="اني  أريد أروح للسوك اليوم ."/>
    <x v="0"/>
    <x v="1"/>
    <x v="4"/>
    <x v="0"/>
  </r>
  <r>
    <s v="عايزة شبشب كويس و كعب عالي عليك الله ."/>
    <x v="0"/>
    <x v="3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2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4"/>
    <x v="5"/>
    <x v="0"/>
  </r>
  <r>
    <s v="أنا با أريد أعزف."/>
    <x v="2"/>
    <x v="2"/>
    <x v="1"/>
    <x v="1"/>
  </r>
  <r>
    <s v=" الجو اليوم زين بزاف."/>
    <x v="2"/>
    <x v="4"/>
    <x v="5"/>
    <x v="0"/>
  </r>
  <r>
    <s v="أنا اشتقت كثير لأهلي وأقاربي اللي في بلادي، با أريد أزورهم قريب وأقضي معاهم وقت طويل."/>
    <x v="1"/>
    <x v="2"/>
    <x v="1"/>
    <x v="1"/>
  </r>
  <r>
    <s v="اشعر بالتعب الشديد . من فضلك استدع طبيباً ."/>
    <x v="0"/>
    <x v="5"/>
    <x v="6"/>
    <x v="0"/>
  </r>
  <r>
    <s v=" الجو اليوم فيه غبار شوية، الواحد لازم ينتبه ويغسل وجهه وأيدينه لما يرجع البيت."/>
    <x v="1"/>
    <x v="2"/>
    <x v="1"/>
    <x v="1"/>
  </r>
  <r>
    <s v="ده غالي جداً."/>
    <x v="2"/>
    <x v="3"/>
    <x v="3"/>
    <x v="0"/>
  </r>
  <r>
    <s v="اشتي اخرج من هنا."/>
    <x v="2"/>
    <x v="6"/>
    <x v="1"/>
    <x v="0"/>
  </r>
  <r>
    <s v="ابغى قهوة  لو سمحت."/>
    <x v="2"/>
    <x v="2"/>
    <x v="2"/>
    <x v="0"/>
  </r>
  <r>
    <s v="علاش غالي برشة البوكسار هذا؟"/>
    <x v="0"/>
    <x v="4"/>
    <x v="5"/>
    <x v="0"/>
  </r>
  <r>
    <s v="أشتي توصلني للمطار بسرعة، عندي رحلة بعد ساعة."/>
    <x v="0"/>
    <x v="6"/>
    <x v="1"/>
    <x v="0"/>
  </r>
  <r>
    <s v="الطلعة جانت كلش حلوة"/>
    <x v="2"/>
    <x v="1"/>
    <x v="4"/>
    <x v="0"/>
  </r>
  <r>
    <s v="إتصل على الإسعاف من فضلك."/>
    <x v="2"/>
    <x v="5"/>
    <x v="6"/>
    <x v="0"/>
  </r>
  <r>
    <s v="هل هذا هو كل شيء متضمن في الفاتورة ؟"/>
    <x v="0"/>
    <x v="5"/>
    <x v="6"/>
    <x v="0"/>
  </r>
  <r>
    <s v="فقط إذا كانت ملكك ، سيدي . هاها ، مزحة صغيرة ."/>
    <x v="0"/>
    <x v="5"/>
    <x v="6"/>
    <x v="0"/>
  </r>
  <r>
    <s v="اني اريد أشارك بالمسابقة."/>
    <x v="2"/>
    <x v="1"/>
    <x v="4"/>
    <x v="0"/>
  </r>
  <r>
    <s v="لك حل عني  يزم."/>
    <x v="2"/>
    <x v="0"/>
    <x v="0"/>
    <x v="0"/>
  </r>
  <r>
    <s v="لكن التكلفة تزداد , أليس كذلك ؟"/>
    <x v="0"/>
    <x v="5"/>
    <x v="6"/>
    <x v="0"/>
  </r>
  <r>
    <s v="الإنجاز مالته طموحي بالحياة."/>
    <x v="0"/>
    <x v="1"/>
    <x v="4"/>
    <x v="0"/>
  </r>
  <r>
    <s v="صاحبي مريض برشا. تنجم تكلم طبيب، يعيشك؟"/>
    <x v="0"/>
    <x v="4"/>
    <x v="5"/>
    <x v="0"/>
  </r>
  <r>
    <s v="يا أختي، ممكن تعاونيني نرتبو الحوايج."/>
    <x v="0"/>
    <x v="4"/>
    <x v="5"/>
    <x v="0"/>
  </r>
  <r>
    <s v="هل يمكنني أن أكل كل حبة الفاكهة هذه ؟"/>
    <x v="0"/>
    <x v="5"/>
    <x v="6"/>
    <x v="0"/>
  </r>
  <r>
    <s v="ايوه، كل اللي انت عاوزو شامبو و سيشوار ."/>
    <x v="0"/>
    <x v="3"/>
    <x v="3"/>
    <x v="0"/>
  </r>
  <r>
    <s v="رجاءا اكتب عنوانك هوني."/>
    <x v="2"/>
    <x v="0"/>
    <x v="4"/>
    <x v="1"/>
  </r>
  <r>
    <s v="تركت شنطتي بشي مطرح."/>
    <x v="2"/>
    <x v="0"/>
    <x v="0"/>
    <x v="0"/>
  </r>
  <r>
    <s v="الشي الجنت ادور عليه."/>
    <x v="2"/>
    <x v="1"/>
    <x v="4"/>
    <x v="0"/>
  </r>
  <r>
    <s v="كيفاش راك؟"/>
    <x v="2"/>
    <x v="4"/>
    <x v="5"/>
    <x v="0"/>
  </r>
  <r>
    <s v="نحبك بزاف"/>
    <x v="2"/>
    <x v="4"/>
    <x v="5"/>
    <x v="0"/>
  </r>
  <r>
    <s v=" اكدر اكل وجبتي بعدين؟ احس نفسي متخربط هسه."/>
    <x v="0"/>
    <x v="1"/>
    <x v="4"/>
    <x v="0"/>
  </r>
  <r>
    <s v="عندك بيزات؟"/>
    <x v="2"/>
    <x v="2"/>
    <x v="2"/>
    <x v="0"/>
  </r>
  <r>
    <s v="وين الأصانصير؟"/>
    <x v="2"/>
    <x v="0"/>
    <x v="0"/>
    <x v="0"/>
  </r>
  <r>
    <s v="بطني واجعاني شديد."/>
    <x v="2"/>
    <x v="3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1"/>
  </r>
  <r>
    <s v="اكو حد اسكتلندي ؟"/>
    <x v="0"/>
    <x v="3"/>
    <x v="3"/>
    <x v="0"/>
  </r>
  <r>
    <s v="أشتي شاي عدني."/>
    <x v="0"/>
    <x v="4"/>
    <x v="4"/>
    <x v="0"/>
  </r>
  <r>
    <s v="دخيلك في عندك اكبر؟"/>
    <x v="0"/>
    <x v="2"/>
    <x v="2"/>
    <x v="1"/>
  </r>
  <r>
    <s v="باش نسافر من اما مطار؟"/>
    <x v="0"/>
    <x v="5"/>
    <x v="5"/>
    <x v="0"/>
  </r>
  <r>
    <s v="عاوز لي لابتوب جديد ."/>
    <x v="0"/>
    <x v="0"/>
    <x v="0"/>
    <x v="0"/>
  </r>
  <r>
    <s v="وين رايح هلأ؟"/>
    <x v="0"/>
    <x v="6"/>
    <x v="2"/>
    <x v="0"/>
  </r>
  <r>
    <s v="شكو ماكو؟"/>
    <x v="0"/>
    <x v="3"/>
    <x v="3"/>
    <x v="0"/>
  </r>
  <r>
    <s v="نحبك بزاف."/>
    <x v="0"/>
    <x v="5"/>
    <x v="5"/>
    <x v="0"/>
  </r>
  <r>
    <s v="لا توسوس، الأمور طيبة، لا تجلس تفكر كثير."/>
    <x v="1"/>
    <x v="2"/>
    <x v="4"/>
    <x v="1"/>
  </r>
  <r>
    <s v="بدي تطولي كمام جاكيت الرياضة هاد."/>
    <x v="1"/>
    <x v="6"/>
    <x v="2"/>
    <x v="0"/>
  </r>
  <r>
    <s v="لك شو عم تعمل ؟"/>
    <x v="0"/>
    <x v="6"/>
    <x v="2"/>
    <x v="0"/>
  </r>
  <r>
    <s v="كنت ماشي و لقيتك في الشارع مع ناسك."/>
    <x v="1"/>
    <x v="6"/>
    <x v="0"/>
    <x v="1"/>
  </r>
  <r>
    <s v="هل اكو اي جوله صباحيي؟"/>
    <x v="0"/>
    <x v="3"/>
    <x v="3"/>
    <x v="0"/>
  </r>
  <r>
    <s v="أني أريد أروح للسوك اليوم حتى أشتري بعض الأغراض للبيت."/>
    <x v="2"/>
    <x v="3"/>
    <x v="3"/>
    <x v="0"/>
  </r>
  <r>
    <s v="يبن عمي، ليش تأخرت؟ قدنا واقف هنا ساعة كأني حارس بوابة."/>
    <x v="2"/>
    <x v="2"/>
    <x v="4"/>
    <x v="1"/>
  </r>
  <r>
    <s v="هل لك أن تزكري لي مطعما جيدا ؟"/>
    <x v="1"/>
    <x v="1"/>
    <x v="1"/>
    <x v="0"/>
  </r>
  <r>
    <s v="بسرعة قبل ما السوق يسدّ."/>
    <x v="0"/>
    <x v="5"/>
    <x v="4"/>
    <x v="1"/>
  </r>
  <r>
    <s v="تعال نشرب لنا كاسة شاهي بالحليب ونسمر شوية."/>
    <x v="1"/>
    <x v="2"/>
    <x v="4"/>
    <x v="1"/>
  </r>
  <r>
    <s v=" يا ولد ليش لهسة ما خلصت واجباتك؟"/>
    <x v="1"/>
    <x v="2"/>
    <x v="3"/>
    <x v="1"/>
  </r>
  <r>
    <s v="وين بقدر ألائي محل ساعات؟"/>
    <x v="0"/>
    <x v="6"/>
    <x v="2"/>
    <x v="0"/>
  </r>
  <r>
    <s v="حي الله عينك، والله ما قصرت."/>
    <x v="1"/>
    <x v="2"/>
    <x v="6"/>
    <x v="0"/>
  </r>
  <r>
    <s v="غادي ناخد الرحلة طناش لطوكيو."/>
    <x v="1"/>
    <x v="5"/>
    <x v="5"/>
    <x v="0"/>
  </r>
  <r>
    <s v="أنا كنت كانفكر نمشي لشي رحلة قصيرة نهاية السيمانة الجاية."/>
    <x v="2"/>
    <x v="5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1"/>
    <x v="1"/>
    <x v="0"/>
  </r>
  <r>
    <s v="لذلك ارغب في استبدالها ؟"/>
    <x v="0"/>
    <x v="1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1"/>
  </r>
  <r>
    <s v="أنا با أريد أخلص الشغل بسرعة."/>
    <x v="1"/>
    <x v="4"/>
    <x v="4"/>
    <x v="0"/>
  </r>
  <r>
    <s v="شفت الفيلم اللي نزل السيمانة اللي فاتت؟ "/>
    <x v="1"/>
    <x v="5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5"/>
    <x v="3"/>
    <x v="1"/>
  </r>
  <r>
    <s v=" فين بغينا نمشيو نتعشاو الليلة؟"/>
    <x v="1"/>
    <x v="5"/>
    <x v="5"/>
    <x v="0"/>
  </r>
  <r>
    <s v=" أنا باغي نجرب مطعم جديد سمعت عليه هضرة زوينة في الأيام اللي فاتت."/>
    <x v="2"/>
    <x v="5"/>
    <x v="5"/>
    <x v="0"/>
  </r>
  <r>
    <s v="روحي دغري و بروم عالشمال هونيك."/>
    <x v="1"/>
    <x v="6"/>
    <x v="2"/>
    <x v="0"/>
  </r>
  <r>
    <s v="ممكن تساعديني في ترتيب الأغراض في الدولاب؟ أنا ما عندي وقت اليوم وبا أريد أخلص الشغل بسرعة."/>
    <x v="2"/>
    <x v="4"/>
    <x v="4"/>
    <x v="0"/>
  </r>
  <r>
    <s v="راني حاب حقيبة ماكياج."/>
    <x v="0"/>
    <x v="5"/>
    <x v="5"/>
    <x v="0"/>
  </r>
  <r>
    <s v="القات اليوم حلو، تعال نتمضغ."/>
    <x v="1"/>
    <x v="4"/>
    <x v="5"/>
    <x v="1"/>
  </r>
  <r>
    <s v="تروم تساعدني؟"/>
    <x v="0"/>
    <x v="5"/>
    <x v="6"/>
    <x v="1"/>
  </r>
  <r>
    <s v="ما عندي وقت والله السموحة."/>
    <x v="1"/>
    <x v="2"/>
    <x v="6"/>
    <x v="0"/>
  </r>
  <r>
    <s v="عاوز قهوة يسطا؟"/>
    <x v="0"/>
    <x v="0"/>
    <x v="0"/>
    <x v="0"/>
  </r>
  <r>
    <s v="هل يمكن أن أترك هذه العربة خارج الردهة ؟"/>
    <x v="1"/>
    <x v="1"/>
    <x v="1"/>
    <x v="0"/>
  </r>
  <r>
    <s v="لقد كانت المزارات في اليونان تاريخية ."/>
    <x v="1"/>
    <x v="1"/>
    <x v="1"/>
    <x v="0"/>
  </r>
  <r>
    <s v="بعد إزنك، من وين بروحو عأكاساكا؟"/>
    <x v="1"/>
    <x v="5"/>
    <x v="2"/>
    <x v="1"/>
  </r>
  <r>
    <s v="اكو مطعم  قريب يبيع دولمة؟"/>
    <x v="1"/>
    <x v="3"/>
    <x v="3"/>
    <x v="0"/>
  </r>
  <r>
    <s v="بس كنت ابغي أأكد ان رئيس مجلس الإدارة لشركتكم بيحضر الاجتماع بكرة."/>
    <x v="2"/>
    <x v="2"/>
    <x v="6"/>
    <x v="0"/>
  </r>
  <r>
    <s v="أنا با أريد نجرب مطعم جديد سمعت عنه."/>
    <x v="1"/>
    <x v="4"/>
    <x v="4"/>
    <x v="0"/>
  </r>
  <r>
    <s v=" البيت اللي اشتريناه جديد وحلو كلش وواسع، بيه حديقة جبيرة نكدر نقعد بيها ونستمتع بالجو الحلو بالمساء."/>
    <x v="2"/>
    <x v="3"/>
    <x v="3"/>
    <x v="0"/>
  </r>
  <r>
    <s v="كيف بدك البيض؟"/>
    <x v="0"/>
    <x v="6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1"/>
    <x v="4"/>
    <x v="1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0"/>
  </r>
  <r>
    <s v="أشتي كبسة باللحم، إذا ممكن"/>
    <x v="1"/>
    <x v="4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5"/>
    <x v="3"/>
    <x v="1"/>
  </r>
  <r>
    <s v="شنو نوع الجوتي مالك؟"/>
    <x v="0"/>
    <x v="3"/>
    <x v="6"/>
    <x v="1"/>
  </r>
  <r>
    <s v="الجو بره حلو هواي اليوم."/>
    <x v="0"/>
    <x v="3"/>
    <x v="3"/>
    <x v="0"/>
  </r>
  <r>
    <s v="ارحب يبو مسعد؟"/>
    <x v="0"/>
    <x v="2"/>
    <x v="6"/>
    <x v="0"/>
  </r>
  <r>
    <s v="وين يا رجال , وش صار عليك؟"/>
    <x v="1"/>
    <x v="2"/>
    <x v="6"/>
    <x v="0"/>
  </r>
  <r>
    <s v="باخي والله وجع شديد"/>
    <x v="0"/>
    <x v="2"/>
    <x v="0"/>
    <x v="1"/>
  </r>
  <r>
    <s v="ازاي أرجع؟"/>
    <x v="0"/>
    <x v="0"/>
    <x v="0"/>
    <x v="0"/>
  </r>
  <r>
    <s v="غدا غنمشيو للبحر نتفسخو و نتبسطو"/>
    <x v="1"/>
    <x v="5"/>
    <x v="5"/>
    <x v="0"/>
  </r>
  <r>
    <s v="ما اقدر اشوف الشاشة من هني. أروم اغير مقعدي ؟"/>
    <x v="1"/>
    <x v="5"/>
    <x v="6"/>
    <x v="1"/>
  </r>
  <r>
    <s v="أنا تعبان شوية, با أرتاح في البيت."/>
    <x v="1"/>
    <x v="4"/>
    <x v="4"/>
    <x v="0"/>
  </r>
  <r>
    <s v="صاحبي مريض برشا. تنجم تكلم طبيب، يعيشك؟"/>
    <x v="1"/>
    <x v="5"/>
    <x v="5"/>
    <x v="0"/>
  </r>
  <r>
    <s v="بدي شوية مقانق، عمول معروف ."/>
    <x v="1"/>
    <x v="6"/>
    <x v="2"/>
    <x v="0"/>
  </r>
  <r>
    <s v="لك حل عني يا زلمة"/>
    <x v="0"/>
    <x v="6"/>
    <x v="2"/>
    <x v="0"/>
  </r>
  <r>
    <s v="أبا عطر لو ما عليك أمر."/>
    <x v="0"/>
    <x v="2"/>
    <x v="6"/>
    <x v="0"/>
  </r>
  <r>
    <s v="رح أوصل حوالي الساعة تسعة المسا."/>
    <x v="1"/>
    <x v="6"/>
    <x v="2"/>
    <x v="0"/>
  </r>
  <r>
    <s v="واش هاد القطار كايتوقف فبالتيمور؟"/>
    <x v="1"/>
    <x v="5"/>
    <x v="5"/>
    <x v="0"/>
  </r>
  <r>
    <s v="اشتي شاي عدني."/>
    <x v="0"/>
    <x v="4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1"/>
  </r>
  <r>
    <s v="اصعد السلم ثم اتجه يميناً . إنه على يسارك ."/>
    <x v="1"/>
    <x v="1"/>
    <x v="1"/>
    <x v="0"/>
  </r>
  <r>
    <s v="فقط إذا كانت ملكك ، سيدي . هاها ، مزحة صغيرة ."/>
    <x v="1"/>
    <x v="1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1"/>
    <x v="1"/>
    <x v="0"/>
  </r>
  <r>
    <s v="فين مفتاح الطوموبيل؟"/>
    <x v="0"/>
    <x v="0"/>
    <x v="5"/>
    <x v="1"/>
  </r>
  <r>
    <s v="تؤبرني"/>
    <x v="0"/>
    <x v="2"/>
    <x v="2"/>
    <x v="1"/>
  </r>
  <r>
    <s v="أنا أحب أطبخ, إيش تبغى أطبخ لك اليوم؟"/>
    <x v="1"/>
    <x v="2"/>
    <x v="4"/>
    <x v="1"/>
  </r>
  <r>
    <s v="أنا با أريد أسافر في الصيف."/>
    <x v="1"/>
    <x v="4"/>
    <x v="4"/>
    <x v="0"/>
  </r>
  <r>
    <s v="شي بيبسي زيرو؟ مسوي دايت أنا"/>
    <x v="1"/>
    <x v="2"/>
    <x v="6"/>
    <x v="0"/>
  </r>
  <r>
    <s v="اليوم كان يوم طويل، ولكن الحمد لله خلصت كل الأعمال."/>
    <x v="2"/>
    <x v="1"/>
    <x v="4"/>
    <x v="1"/>
  </r>
  <r>
    <s v="لو سمحت ألغي رقم البطاقه حقي."/>
    <x v="1"/>
    <x v="2"/>
    <x v="4"/>
    <x v="1"/>
  </r>
  <r>
    <s v="اشتي قهوة."/>
    <x v="0"/>
    <x v="4"/>
    <x v="4"/>
    <x v="0"/>
  </r>
  <r>
    <s v="أنا ما عنديش فلوس بزاف دابا."/>
    <x v="1"/>
    <x v="5"/>
    <x v="5"/>
    <x v="0"/>
  </r>
  <r>
    <s v="هل اكو مطعم قريب هوني؟"/>
    <x v="0"/>
    <x v="3"/>
    <x v="3"/>
    <x v="0"/>
  </r>
  <r>
    <s v="لهيجا البيت كبير كتير. "/>
    <x v="0"/>
    <x v="6"/>
    <x v="2"/>
    <x v="0"/>
  </r>
  <r>
    <s v="وش تبي مني ؟"/>
    <x v="0"/>
    <x v="2"/>
    <x v="6"/>
    <x v="0"/>
  </r>
  <r>
    <s v="هسه شنو تريد تاكل على الغده؟"/>
    <x v="1"/>
    <x v="3"/>
    <x v="3"/>
    <x v="0"/>
  </r>
  <r>
    <s v="خلينا نمشيو نزورو عائلتي اليوم العشية."/>
    <x v="1"/>
    <x v="5"/>
    <x v="5"/>
    <x v="0"/>
  </r>
  <r>
    <s v="عادي تطرشلي الصورة بعدين؟"/>
    <x v="0"/>
    <x v="5"/>
    <x v="6"/>
    <x v="1"/>
  </r>
  <r>
    <s v="ما عندي فلوس هواي هسه."/>
    <x v="0"/>
    <x v="3"/>
    <x v="3"/>
    <x v="0"/>
  </r>
  <r>
    <s v="ممكن تحولي اياهم لدولارات، لو سمحت؟"/>
    <x v="1"/>
    <x v="5"/>
    <x v="2"/>
    <x v="1"/>
  </r>
  <r>
    <s v="علاش أنت زعفان اليوم؟"/>
    <x v="0"/>
    <x v="5"/>
    <x v="5"/>
    <x v="0"/>
  </r>
  <r>
    <s v="اشنو الاختلاف بين هذولي الفنادق؟"/>
    <x v="1"/>
    <x v="3"/>
    <x v="3"/>
    <x v="0"/>
  </r>
  <r>
    <s v="الشي الجنت ادور عليه."/>
    <x v="0"/>
    <x v="3"/>
    <x v="3"/>
    <x v="0"/>
  </r>
  <r>
    <s v="ما بيصير تحكي هالحكي قدام الناس."/>
    <x v="1"/>
    <x v="6"/>
    <x v="2"/>
    <x v="0"/>
  </r>
  <r>
    <s v="يصير ادفع بجيكات سياحية؟"/>
    <x v="0"/>
    <x v="2"/>
    <x v="6"/>
    <x v="0"/>
  </r>
  <r>
    <s v="اي، بعض الغرف تطل على الحديقة، بس وايد غالية."/>
    <x v="1"/>
    <x v="2"/>
    <x v="6"/>
    <x v="0"/>
  </r>
  <r>
    <s v="اريد كتاب تلوين."/>
    <x v="0"/>
    <x v="3"/>
    <x v="3"/>
    <x v="0"/>
  </r>
  <r>
    <s v="ما يمكنش تهضر بهاد الطريقة مع الناس, خاصك تحترمهم."/>
    <x v="1"/>
    <x v="5"/>
    <x v="5"/>
    <x v="0"/>
  </r>
  <r>
    <s v="با أريد شاهي كرك من دبي."/>
    <x v="0"/>
    <x v="4"/>
    <x v="4"/>
    <x v="0"/>
  </r>
  <r>
    <s v="مشكور ما قصرت. انا وسيد كوقوري مستانسين ان جينا لندن عشان نجتمع معاك وانت واحد من أهم شركائنا."/>
    <x v="2"/>
    <x v="2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1"/>
    <x v="1"/>
    <x v="0"/>
  </r>
  <r>
    <s v="أنا مرضان.بدي أرتاح."/>
    <x v="0"/>
    <x v="6"/>
    <x v="2"/>
    <x v="0"/>
  </r>
  <r>
    <s v="ماعنديش موعد، بلحاق الحالة مستعجلة."/>
    <x v="1"/>
    <x v="5"/>
    <x v="5"/>
    <x v="0"/>
  </r>
  <r>
    <s v="اكيد، اخذ وقتج."/>
    <x v="0"/>
    <x v="2"/>
    <x v="3"/>
    <x v="1"/>
  </r>
  <r>
    <s v="مسامحة بس في غلط في الفاتورة."/>
    <x v="1"/>
    <x v="5"/>
    <x v="6"/>
    <x v="1"/>
  </r>
  <r>
    <s v="السوق اليوم زحمة، لازم ندحس عشان ندخل."/>
    <x v="1"/>
    <x v="5"/>
    <x v="4"/>
    <x v="1"/>
  </r>
  <r>
    <s v="ناس قليلين اللي هايكونوا في الجولة الاختياري."/>
    <x v="1"/>
    <x v="6"/>
    <x v="0"/>
    <x v="1"/>
  </r>
  <r>
    <s v="اكدر احصلها مشروحة اكثر بالتفاصيل؟"/>
    <x v="1"/>
    <x v="3"/>
    <x v="3"/>
    <x v="0"/>
  </r>
  <r>
    <s v="كلموه بركي يقتنع."/>
    <x v="0"/>
    <x v="5"/>
    <x v="2"/>
    <x v="1"/>
  </r>
  <r>
    <s v="كيف نستخدم هذا ؟"/>
    <x v="0"/>
    <x v="1"/>
    <x v="1"/>
    <x v="0"/>
  </r>
  <r>
    <s v="لك شو مهضوم انته"/>
    <x v="0"/>
    <x v="6"/>
    <x v="2"/>
    <x v="0"/>
  </r>
  <r>
    <s v="حط الشاي هانا، جنب القات."/>
    <x v="0"/>
    <x v="4"/>
    <x v="4"/>
    <x v="0"/>
  </r>
  <r>
    <s v="أبا ألعب بادل."/>
    <x v="0"/>
    <x v="2"/>
    <x v="6"/>
    <x v="0"/>
  </r>
  <r>
    <s v="اكدر اكل وجبتي بعدين؟ احس نفسي متخربط هسه."/>
    <x v="1"/>
    <x v="3"/>
    <x v="3"/>
    <x v="0"/>
  </r>
  <r>
    <s v="عادي أدقع كاش ولا عايز ببطاقة؟"/>
    <x v="1"/>
    <x v="5"/>
    <x v="0"/>
    <x v="1"/>
  </r>
  <r>
    <s v="أيمكنني أن أبقى ثلاث ليالٍ ؟"/>
    <x v="1"/>
    <x v="1"/>
    <x v="1"/>
    <x v="0"/>
  </r>
  <r>
    <s v="نعم ، بإمكانك . هون عليك ."/>
    <x v="1"/>
    <x v="1"/>
    <x v="1"/>
    <x v="0"/>
  </r>
  <r>
    <s v="بتقدر تبدل كرسيك معي، لو سمحت؟"/>
    <x v="1"/>
    <x v="6"/>
    <x v="2"/>
    <x v="0"/>
  </r>
  <r>
    <s v="عاوزين أوضة على البحر يسطا."/>
    <x v="1"/>
    <x v="0"/>
    <x v="0"/>
    <x v="0"/>
  </r>
  <r>
    <s v="هاي الغرفة كولش صغيره."/>
    <x v="0"/>
    <x v="3"/>
    <x v="3"/>
    <x v="0"/>
  </r>
  <r>
    <s v="هاد الكتاب مفيد بزاف."/>
    <x v="0"/>
    <x v="5"/>
    <x v="5"/>
    <x v="0"/>
  </r>
  <r>
    <s v="هل يمكنني أن أكل كل حبة الفاكهة هذه ؟"/>
    <x v="1"/>
    <x v="1"/>
    <x v="1"/>
    <x v="0"/>
  </r>
  <r>
    <s v="مافشي أغراض  في البيت. لازم نسير اليمعية."/>
    <x v="1"/>
    <x v="5"/>
    <x v="6"/>
    <x v="1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2"/>
    <x v="6"/>
    <x v="0"/>
  </r>
  <r>
    <s v="أبا مجبوس دياي اليوم."/>
    <x v="0"/>
    <x v="2"/>
    <x v="6"/>
    <x v="0"/>
  </r>
  <r>
    <s v="اكو جمعية قريبة؟"/>
    <x v="0"/>
    <x v="3"/>
    <x v="3"/>
    <x v="0"/>
  </r>
  <r>
    <s v="لا تطلع فيا هيك!"/>
    <x v="0"/>
    <x v="6"/>
    <x v="2"/>
    <x v="0"/>
  </r>
  <r>
    <s v="ما عندي مصاري."/>
    <x v="0"/>
    <x v="6"/>
    <x v="2"/>
    <x v="0"/>
  </r>
  <r>
    <s v="اليهال منتظرينك برع."/>
    <x v="0"/>
    <x v="2"/>
    <x v="6"/>
    <x v="0"/>
  </r>
  <r>
    <s v="لا تقول هالكلام جدامي."/>
    <x v="0"/>
    <x v="2"/>
    <x v="6"/>
    <x v="0"/>
  </r>
  <r>
    <s v="كلا . إني ياباني ."/>
    <x v="0"/>
    <x v="3"/>
    <x v="1"/>
    <x v="1"/>
  </r>
  <r>
    <s v="ما أشرب قهوة أني يا الغالي."/>
    <x v="1"/>
    <x v="3"/>
    <x v="3"/>
    <x v="0"/>
  </r>
  <r>
    <s v="هل هذا هو كل شيء متضمن في الفاتورة ؟"/>
    <x v="1"/>
    <x v="1"/>
    <x v="1"/>
    <x v="0"/>
  </r>
  <r>
    <s v="تركت شنطتي بشي مطرح."/>
    <x v="0"/>
    <x v="2"/>
    <x v="2"/>
    <x v="1"/>
  </r>
  <r>
    <s v="طوالي عليك الله."/>
    <x v="0"/>
    <x v="0"/>
    <x v="0"/>
    <x v="0"/>
  </r>
  <r>
    <s v="اشتي العب تنس."/>
    <x v="0"/>
    <x v="4"/>
    <x v="4"/>
    <x v="0"/>
  </r>
  <r>
    <s v="زين. هسه حجزك تاكد."/>
    <x v="0"/>
    <x v="3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2"/>
    <x v="6"/>
    <x v="0"/>
  </r>
  <r>
    <s v="من فضلك غادر الفندق قبل التاسعة ."/>
    <x v="1"/>
    <x v="1"/>
    <x v="1"/>
    <x v="0"/>
  </r>
  <r>
    <s v="عمبتسأل  شو هيدا الي على فاتورتي ."/>
    <x v="1"/>
    <x v="6"/>
    <x v="2"/>
    <x v="0"/>
  </r>
  <r>
    <s v=" لازم نوفر باستهلاك الكهرباء والماي حتى نحافظ على البيئة ونكون مسؤولين تجاه الأجيال الجاية."/>
    <x v="2"/>
    <x v="1"/>
    <x v="3"/>
    <x v="1"/>
  </r>
  <r>
    <s v="ضيعت باسبوري، نحب واحد جديد."/>
    <x v="1"/>
    <x v="5"/>
    <x v="5"/>
    <x v="0"/>
  </r>
  <r>
    <s v="اشعر بالتعب الشديد . من فضلك استدع طبيباً ."/>
    <x v="1"/>
    <x v="1"/>
    <x v="1"/>
    <x v="0"/>
  </r>
  <r>
    <s v="نعم، سيد تانكا. اكو رسالتين الك."/>
    <x v="1"/>
    <x v="3"/>
    <x v="3"/>
    <x v="0"/>
  </r>
  <r>
    <s v="بأثر شي اذا دقيتلك بعدين؟"/>
    <x v="0"/>
    <x v="4"/>
    <x v="2"/>
    <x v="1"/>
  </r>
  <r>
    <s v="ممكن ترسل تاكسي للمدخل الرئيسي حق ويستمينستر مول؟"/>
    <x v="1"/>
    <x v="2"/>
    <x v="4"/>
    <x v="1"/>
  </r>
  <r>
    <s v="شكرا يبن عمي عل الخدمة."/>
    <x v="0"/>
    <x v="2"/>
    <x v="4"/>
    <x v="1"/>
  </r>
  <r>
    <s v="عمر هاد الورقة عافاك. فين خاصنا نديوه منين نردوه؟"/>
    <x v="1"/>
    <x v="5"/>
    <x v="5"/>
    <x v="0"/>
  </r>
  <r>
    <s v="مو معئول لهلأ طلبي ما وصل ."/>
    <x v="1"/>
    <x v="6"/>
    <x v="2"/>
    <x v="0"/>
  </r>
  <r>
    <s v="عايز الهدوم دي تتكوى."/>
    <x v="0"/>
    <x v="0"/>
    <x v="0"/>
    <x v="0"/>
  </r>
  <r>
    <s v="اليوم عندنا تخزينة قوية مع الشباب."/>
    <x v="1"/>
    <x v="2"/>
    <x v="4"/>
    <x v="1"/>
  </r>
  <r>
    <s v="كم من الوقت يبغاله من هنا إلى سيتي هول؟"/>
    <x v="1"/>
    <x v="2"/>
    <x v="6"/>
    <x v="0"/>
  </r>
  <r>
    <s v="ما شعورك ؟ لقد صنعت في سويسرا وهي موضة هنا ."/>
    <x v="1"/>
    <x v="1"/>
    <x v="1"/>
    <x v="0"/>
  </r>
  <r>
    <s v="يا رجال، شمسك حاميا؟"/>
    <x v="0"/>
    <x v="2"/>
    <x v="4"/>
    <x v="1"/>
  </r>
  <r>
    <s v="عندج بيزات؟"/>
    <x v="0"/>
    <x v="2"/>
    <x v="6"/>
    <x v="0"/>
  </r>
  <r>
    <s v="السيارة دقمت الجدار."/>
    <x v="0"/>
    <x v="2"/>
    <x v="4"/>
    <x v="1"/>
  </r>
  <r>
    <s v="تروم تصلحه؟"/>
    <x v="0"/>
    <x v="5"/>
    <x v="6"/>
    <x v="1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3"/>
    <x v="3"/>
    <x v="0"/>
  </r>
  <r>
    <s v="ابغى قهوة لو سمحت."/>
    <x v="0"/>
    <x v="2"/>
    <x v="6"/>
    <x v="0"/>
  </r>
  <r>
    <s v=" إنها كذلك بالفعل."/>
    <x v="0"/>
    <x v="1"/>
    <x v="1"/>
    <x v="0"/>
  </r>
  <r>
    <s v="انت جعان يصحبي؟"/>
    <x v="0"/>
    <x v="0"/>
    <x v="0"/>
    <x v="0"/>
  </r>
  <r>
    <s v="لا أريد شيئاً آخر ."/>
    <x v="0"/>
    <x v="1"/>
    <x v="1"/>
    <x v="0"/>
  </r>
  <r>
    <s v="أنا متأسف أما لوتيل معبي."/>
    <x v="0"/>
    <x v="5"/>
    <x v="5"/>
    <x v="0"/>
  </r>
  <r>
    <s v="من زمان عنك, وين جنت؟"/>
    <x v="0"/>
    <x v="3"/>
    <x v="3"/>
    <x v="0"/>
  </r>
  <r>
    <s v="إتجه إلى الامام"/>
    <x v="0"/>
    <x v="1"/>
    <x v="1"/>
    <x v="0"/>
  </r>
  <r>
    <s v="ما يمكنش تقول هاد الهضرة قدام الناس."/>
    <x v="1"/>
    <x v="5"/>
    <x v="5"/>
    <x v="0"/>
  </r>
  <r>
    <s v="علي أن أقول وداعاً ."/>
    <x v="0"/>
    <x v="1"/>
    <x v="1"/>
    <x v="0"/>
  </r>
  <r>
    <s v="أنا كنت كانفكر نمشي نلعب كورة."/>
    <x v="1"/>
    <x v="5"/>
    <x v="5"/>
    <x v="0"/>
  </r>
  <r>
    <s v="دير بالك، السقف قصير."/>
    <x v="0"/>
    <x v="6"/>
    <x v="2"/>
    <x v="0"/>
  </r>
  <r>
    <s v="موتري تعطل، تعال خده لو ما عليك امر."/>
    <x v="1"/>
    <x v="2"/>
    <x v="6"/>
    <x v="0"/>
  </r>
  <r>
    <s v="علاش غالي برشة البوكسار هذا؟"/>
    <x v="1"/>
    <x v="5"/>
    <x v="5"/>
    <x v="0"/>
  </r>
  <r>
    <s v="لنذهب مرة أخرى ."/>
    <x v="0"/>
    <x v="1"/>
    <x v="1"/>
    <x v="0"/>
  </r>
  <r>
    <s v="أبا كوفي طال عمرك ."/>
    <x v="0"/>
    <x v="2"/>
    <x v="6"/>
    <x v="0"/>
  </r>
  <r>
    <s v="داير امشي الدكان."/>
    <x v="0"/>
    <x v="0"/>
    <x v="0"/>
    <x v="0"/>
  </r>
  <r>
    <s v="هرب بسرعة لما شاف الحنشان."/>
    <x v="1"/>
    <x v="4"/>
    <x v="4"/>
    <x v="0"/>
  </r>
  <r>
    <s v="جا عبالي شيش برك."/>
    <x v="0"/>
    <x v="5"/>
    <x v="2"/>
    <x v="1"/>
  </r>
  <r>
    <s v="انا مستني حضرتك من ساعات في المكتب."/>
    <x v="1"/>
    <x v="0"/>
    <x v="0"/>
    <x v="0"/>
  </r>
  <r>
    <s v="برشا تعبان اليوم."/>
    <x v="0"/>
    <x v="5"/>
    <x v="5"/>
    <x v="0"/>
  </r>
  <r>
    <s v="لكن التكلفة تزداد , أليس كذلك ؟"/>
    <x v="1"/>
    <x v="1"/>
    <x v="1"/>
    <x v="0"/>
  </r>
  <r>
    <s v="حالة الجو متقلبة . من فضلكم اربطوا أحزمة مقاعدكم ."/>
    <x v="1"/>
    <x v="1"/>
    <x v="1"/>
    <x v="0"/>
  </r>
  <r>
    <s v="مخيرا. الله يحفداك."/>
    <x v="0"/>
    <x v="5"/>
    <x v="5"/>
    <x v="0"/>
  </r>
  <r>
    <s v="دخل معهم بالعقل، مش بالصميل."/>
    <x v="1"/>
    <x v="2"/>
    <x v="4"/>
    <x v="1"/>
  </r>
  <r>
    <s v="هل يمكن أن تعطيني الشوكة من فضلك ."/>
    <x v="1"/>
    <x v="1"/>
    <x v="1"/>
    <x v="0"/>
  </r>
  <r>
    <s v="ما هو الأفضل ؟"/>
    <x v="0"/>
    <x v="1"/>
    <x v="1"/>
    <x v="0"/>
  </r>
  <r>
    <s v="عقّ علينا يا رجال، تأخرنا."/>
    <x v="1"/>
    <x v="2"/>
    <x v="4"/>
    <x v="1"/>
  </r>
  <r>
    <s v="هذا الولد طاهش، ما يسمع كلام أحد."/>
    <x v="1"/>
    <x v="2"/>
    <x v="4"/>
    <x v="1"/>
  </r>
  <r>
    <s v="اني حتي مشي ما امشي"/>
    <x v="0"/>
    <x v="3"/>
    <x v="3"/>
    <x v="0"/>
  </r>
  <r>
    <s v="داير أرسله بالبريد البري."/>
    <x v="0"/>
    <x v="0"/>
    <x v="0"/>
    <x v="0"/>
  </r>
  <r>
    <s v="رجاءا اكتب عنوانك هوني."/>
    <x v="0"/>
    <x v="6"/>
    <x v="3"/>
    <x v="1"/>
  </r>
  <r>
    <s v="علاش ما ساليتيش واجباتك المدرسية لحد الآن؟"/>
    <x v="1"/>
    <x v="5"/>
    <x v="5"/>
    <x v="0"/>
  </r>
  <r>
    <s v="اصك تساليهم قبل ما نخرجوا باش ما تعطلش على اللعب مع صحابك."/>
    <x v="2"/>
    <x v="5"/>
    <x v="5"/>
    <x v="0"/>
  </r>
  <r>
    <s v="رجاءا ارسلي شخص للاعلى علمود جنطيي ساعه ستي ونص."/>
    <x v="1"/>
    <x v="3"/>
    <x v="3"/>
    <x v="0"/>
  </r>
  <r>
    <s v="الواحد يقدر يتمشى في الكورنيش ويستمتع بالهوا النقي."/>
    <x v="2"/>
    <x v="1"/>
    <x v="5"/>
    <x v="1"/>
  </r>
  <r>
    <s v="هالإيام عم ينتشر كتير حالات رشح."/>
    <x v="1"/>
    <x v="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9">
        <item x="2"/>
        <item x="3"/>
        <item x="6"/>
        <item x="1"/>
        <item x="5"/>
        <item x="0"/>
        <item x="4"/>
        <item m="1"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H11" firstHeaderRow="1" firstDataRow="2" firstDataCol="1"/>
  <pivotFields count="5">
    <pivotField dataField="1" showAll="0"/>
    <pivotField showAll="0"/>
    <pivotField axis="axisCol" showAll="0">
      <items count="9">
        <item x="2"/>
        <item x="1"/>
        <item x="0"/>
        <item x="5"/>
        <item x="4"/>
        <item x="3"/>
        <item x="6"/>
        <item m="1" x="7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H11" firstHeaderRow="1" firstDataRow="2" firstDataCol="1"/>
  <pivotFields count="5">
    <pivotField dataField="1" showAll="0"/>
    <pivotField showAll="0"/>
    <pivotField axis="axisCol" showAll="0">
      <items count="9">
        <item x="2"/>
        <item x="1"/>
        <item x="4"/>
        <item x="3"/>
        <item x="0"/>
        <item x="6"/>
        <item x="5"/>
        <item m="1" x="7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2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22</v>
      </c>
      <c r="C5" s="16">
        <v>1</v>
      </c>
      <c r="D5" s="16"/>
      <c r="E5" s="16"/>
      <c r="F5" s="16">
        <v>6</v>
      </c>
      <c r="G5" s="16">
        <v>1</v>
      </c>
      <c r="H5" s="16"/>
    </row>
    <row r="6" spans="1:8" x14ac:dyDescent="0.3">
      <c r="A6" s="15" t="s">
        <v>80</v>
      </c>
      <c r="B6" s="16">
        <v>2</v>
      </c>
      <c r="C6" s="16">
        <v>24</v>
      </c>
      <c r="D6" s="16">
        <v>1</v>
      </c>
      <c r="E6" s="16">
        <v>1</v>
      </c>
      <c r="F6" s="16">
        <v>2</v>
      </c>
      <c r="G6" s="16"/>
      <c r="H6" s="16"/>
    </row>
    <row r="7" spans="1:8" x14ac:dyDescent="0.3">
      <c r="A7" s="15" t="s">
        <v>79</v>
      </c>
      <c r="B7" s="16">
        <v>4</v>
      </c>
      <c r="C7" s="16"/>
      <c r="D7" s="16">
        <v>20</v>
      </c>
      <c r="E7" s="16"/>
      <c r="F7" s="16">
        <v>4</v>
      </c>
      <c r="G7" s="16">
        <v>1</v>
      </c>
      <c r="H7" s="16">
        <v>1</v>
      </c>
    </row>
    <row r="8" spans="1:8" x14ac:dyDescent="0.3">
      <c r="A8" s="15" t="s">
        <v>76</v>
      </c>
      <c r="B8" s="16"/>
      <c r="C8" s="16">
        <v>1</v>
      </c>
      <c r="D8" s="16"/>
      <c r="E8" s="16">
        <v>29</v>
      </c>
      <c r="F8" s="16"/>
      <c r="G8" s="16"/>
      <c r="H8" s="16"/>
    </row>
    <row r="9" spans="1:8" x14ac:dyDescent="0.3">
      <c r="A9" s="15" t="s">
        <v>252</v>
      </c>
      <c r="B9" s="16"/>
      <c r="C9" s="16"/>
      <c r="D9" s="16"/>
      <c r="E9" s="16">
        <v>1</v>
      </c>
      <c r="F9" s="16">
        <v>27</v>
      </c>
      <c r="G9" s="16">
        <v>1</v>
      </c>
      <c r="H9" s="16">
        <v>1</v>
      </c>
    </row>
    <row r="10" spans="1:8" x14ac:dyDescent="0.3">
      <c r="A10" s="15" t="s">
        <v>81</v>
      </c>
      <c r="B10" s="16">
        <v>1</v>
      </c>
      <c r="C10" s="16"/>
      <c r="D10" s="16">
        <v>2</v>
      </c>
      <c r="E10" s="16"/>
      <c r="F10" s="16">
        <v>1</v>
      </c>
      <c r="G10" s="16">
        <v>26</v>
      </c>
      <c r="H10" s="16"/>
    </row>
    <row r="11" spans="1:8" x14ac:dyDescent="0.3">
      <c r="A11" s="15" t="s">
        <v>82</v>
      </c>
      <c r="B11" s="16">
        <v>13</v>
      </c>
      <c r="C11" s="16"/>
      <c r="D11" s="16"/>
      <c r="E11" s="16">
        <v>2</v>
      </c>
      <c r="F11" s="16">
        <v>2</v>
      </c>
      <c r="G11" s="16"/>
      <c r="H11" s="16">
        <v>13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261</v>
      </c>
      <c r="C14" s="18" t="s">
        <v>511</v>
      </c>
    </row>
    <row r="15" spans="1:8" x14ac:dyDescent="0.3">
      <c r="A15" s="15" t="s">
        <v>256</v>
      </c>
      <c r="B15" s="16">
        <v>5</v>
      </c>
      <c r="C15" s="16">
        <v>13</v>
      </c>
    </row>
    <row r="16" spans="1:8" x14ac:dyDescent="0.3">
      <c r="A16" s="15" t="s">
        <v>257</v>
      </c>
      <c r="B16" s="16">
        <v>22</v>
      </c>
      <c r="C16" s="16">
        <v>74</v>
      </c>
    </row>
    <row r="17" spans="1:3" x14ac:dyDescent="0.3">
      <c r="A17" s="15" t="s">
        <v>258</v>
      </c>
      <c r="B17" s="16">
        <v>22</v>
      </c>
      <c r="C17" s="16">
        <v>74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H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18</v>
      </c>
      <c r="C5" s="16"/>
      <c r="D5" s="16"/>
      <c r="E5" s="16"/>
      <c r="F5" s="16">
        <v>2</v>
      </c>
      <c r="G5" s="16"/>
      <c r="H5" s="16"/>
    </row>
    <row r="6" spans="1:8" x14ac:dyDescent="0.3">
      <c r="A6" s="15" t="s">
        <v>80</v>
      </c>
      <c r="B6" s="16"/>
      <c r="C6" s="16">
        <v>17</v>
      </c>
      <c r="D6" s="16">
        <v>3</v>
      </c>
      <c r="E6" s="16"/>
      <c r="F6" s="16"/>
      <c r="G6" s="16"/>
      <c r="H6" s="16"/>
    </row>
    <row r="7" spans="1:8" x14ac:dyDescent="0.3">
      <c r="A7" s="15" t="s">
        <v>79</v>
      </c>
      <c r="B7" s="16">
        <v>1</v>
      </c>
      <c r="C7" s="16"/>
      <c r="D7" s="16">
        <v>17</v>
      </c>
      <c r="E7" s="16"/>
      <c r="F7" s="16"/>
      <c r="G7" s="16">
        <v>2</v>
      </c>
      <c r="H7" s="16"/>
    </row>
    <row r="8" spans="1:8" x14ac:dyDescent="0.3">
      <c r="A8" s="15" t="s">
        <v>76</v>
      </c>
      <c r="B8" s="16"/>
      <c r="C8" s="16">
        <v>1</v>
      </c>
      <c r="D8" s="16"/>
      <c r="E8" s="16">
        <v>19</v>
      </c>
      <c r="F8" s="16"/>
      <c r="G8" s="16"/>
      <c r="H8" s="16"/>
    </row>
    <row r="9" spans="1:8" x14ac:dyDescent="0.3">
      <c r="A9" s="15" t="s">
        <v>252</v>
      </c>
      <c r="B9" s="16"/>
      <c r="C9" s="16"/>
      <c r="D9" s="16"/>
      <c r="E9" s="16"/>
      <c r="F9" s="16">
        <v>20</v>
      </c>
      <c r="G9" s="16"/>
      <c r="H9" s="16"/>
    </row>
    <row r="10" spans="1:8" x14ac:dyDescent="0.3">
      <c r="A10" s="15" t="s">
        <v>81</v>
      </c>
      <c r="B10" s="16"/>
      <c r="C10" s="16"/>
      <c r="D10" s="16">
        <v>2</v>
      </c>
      <c r="E10" s="16"/>
      <c r="F10" s="16">
        <v>1</v>
      </c>
      <c r="G10" s="16">
        <v>16</v>
      </c>
      <c r="H10" s="16">
        <v>1</v>
      </c>
    </row>
    <row r="11" spans="1:8" x14ac:dyDescent="0.3">
      <c r="A11" s="15" t="s">
        <v>82</v>
      </c>
      <c r="B11" s="16">
        <v>15</v>
      </c>
      <c r="C11" s="16">
        <v>1</v>
      </c>
      <c r="D11" s="16">
        <v>1</v>
      </c>
      <c r="E11" s="16"/>
      <c r="F11" s="16"/>
      <c r="G11" s="16"/>
      <c r="H11" s="16">
        <v>3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261</v>
      </c>
      <c r="C14" s="18" t="s">
        <v>511</v>
      </c>
    </row>
    <row r="15" spans="1:8" x14ac:dyDescent="0.3">
      <c r="A15" s="15" t="s">
        <v>256</v>
      </c>
      <c r="B15" s="16">
        <v>10</v>
      </c>
      <c r="C15" s="16">
        <v>13</v>
      </c>
    </row>
    <row r="16" spans="1:8" x14ac:dyDescent="0.3">
      <c r="A16" s="15" t="s">
        <v>257</v>
      </c>
      <c r="B16" s="16">
        <v>8</v>
      </c>
      <c r="C16" s="16">
        <v>43</v>
      </c>
    </row>
    <row r="17" spans="1:3" x14ac:dyDescent="0.3">
      <c r="A17" s="15" t="s">
        <v>258</v>
      </c>
      <c r="B17" s="16">
        <v>12</v>
      </c>
      <c r="C17" s="16">
        <v>54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17"/>
  <sheetViews>
    <sheetView zoomScale="92"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9</v>
      </c>
      <c r="C5" s="16">
        <v>1</v>
      </c>
      <c r="D5" s="16"/>
      <c r="E5" s="16"/>
      <c r="F5" s="16"/>
      <c r="G5" s="16"/>
      <c r="H5" s="16"/>
    </row>
    <row r="6" spans="1:8" x14ac:dyDescent="0.3">
      <c r="A6" s="15" t="s">
        <v>80</v>
      </c>
      <c r="B6" s="16"/>
      <c r="C6" s="16">
        <v>9</v>
      </c>
      <c r="D6" s="16">
        <v>1</v>
      </c>
      <c r="E6" s="16"/>
      <c r="F6" s="16"/>
      <c r="G6" s="16"/>
      <c r="H6" s="16"/>
    </row>
    <row r="7" spans="1:8" x14ac:dyDescent="0.3">
      <c r="A7" s="15" t="s">
        <v>79</v>
      </c>
      <c r="B7" s="16">
        <v>3</v>
      </c>
      <c r="C7" s="16"/>
      <c r="D7" s="16">
        <v>5</v>
      </c>
      <c r="E7" s="16"/>
      <c r="F7" s="16"/>
      <c r="G7" s="16">
        <v>2</v>
      </c>
      <c r="H7" s="16"/>
    </row>
    <row r="8" spans="1:8" x14ac:dyDescent="0.3">
      <c r="A8" s="15" t="s">
        <v>76</v>
      </c>
      <c r="B8" s="16"/>
      <c r="C8" s="16"/>
      <c r="D8" s="16"/>
      <c r="E8" s="16">
        <v>10</v>
      </c>
      <c r="F8" s="16"/>
      <c r="G8" s="16"/>
      <c r="H8" s="16"/>
    </row>
    <row r="9" spans="1:8" x14ac:dyDescent="0.3">
      <c r="A9" s="15" t="s">
        <v>252</v>
      </c>
      <c r="B9" s="16"/>
      <c r="C9" s="16"/>
      <c r="D9" s="16"/>
      <c r="E9" s="16"/>
      <c r="F9" s="16">
        <v>10</v>
      </c>
      <c r="G9" s="16"/>
      <c r="H9" s="16"/>
    </row>
    <row r="10" spans="1:8" x14ac:dyDescent="0.3">
      <c r="A10" s="15" t="s">
        <v>81</v>
      </c>
      <c r="B10" s="16"/>
      <c r="C10" s="16"/>
      <c r="D10" s="16"/>
      <c r="E10" s="16"/>
      <c r="F10" s="16"/>
      <c r="G10" s="16">
        <v>10</v>
      </c>
      <c r="H10" s="16"/>
    </row>
    <row r="11" spans="1:8" x14ac:dyDescent="0.3">
      <c r="A11" s="15" t="s">
        <v>82</v>
      </c>
      <c r="B11" s="16">
        <v>3</v>
      </c>
      <c r="C11" s="16"/>
      <c r="D11" s="16"/>
      <c r="E11" s="16"/>
      <c r="F11" s="16"/>
      <c r="G11" s="16">
        <v>3</v>
      </c>
      <c r="H11" s="16">
        <v>4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261</v>
      </c>
      <c r="C14" s="18" t="s">
        <v>511</v>
      </c>
    </row>
    <row r="15" spans="1:8" x14ac:dyDescent="0.3">
      <c r="A15" s="15" t="s">
        <v>256</v>
      </c>
      <c r="B15" s="16">
        <v>2</v>
      </c>
      <c r="C15" s="16">
        <v>13</v>
      </c>
    </row>
    <row r="16" spans="1:8" x14ac:dyDescent="0.3">
      <c r="A16" s="15" t="s">
        <v>257</v>
      </c>
      <c r="B16" s="16">
        <v>4</v>
      </c>
      <c r="C16" s="16">
        <v>17</v>
      </c>
    </row>
    <row r="17" spans="1:3" x14ac:dyDescent="0.3">
      <c r="A17" s="15" t="s">
        <v>258</v>
      </c>
      <c r="B17" s="16">
        <v>7</v>
      </c>
      <c r="C17" s="16">
        <v>27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J2" sqref="J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D2" s="18" t="s">
        <v>252</v>
      </c>
      <c r="E2" s="17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57</v>
      </c>
      <c r="J2" s="4">
        <f>(I2/H2)</f>
        <v>0.81428571428571428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D3" s="18" t="s">
        <v>80</v>
      </c>
      <c r="E3" s="17" t="s">
        <v>80</v>
      </c>
      <c r="F3" s="13" t="b">
        <f t="shared" ref="F3:F66" si="0">IF(D3=E3, TRUE, FALSE)</f>
        <v>1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D4" s="18" t="s">
        <v>77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D5" s="18" t="s">
        <v>80</v>
      </c>
      <c r="E5" s="17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D6" s="18" t="s">
        <v>80</v>
      </c>
      <c r="E6" s="17" t="s">
        <v>80</v>
      </c>
      <c r="F6" s="13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10</v>
      </c>
      <c r="K6" s="3">
        <f>J6/I6</f>
        <v>1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18" t="s">
        <v>252</v>
      </c>
      <c r="E7" s="17" t="s">
        <v>252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10</v>
      </c>
      <c r="K7" s="3">
        <f t="shared" ref="K7:K12" si="3">J7/I7</f>
        <v>1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D8" s="18" t="s">
        <v>80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5</v>
      </c>
      <c r="K8" s="3">
        <f t="shared" si="3"/>
        <v>0.5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18" t="s">
        <v>76</v>
      </c>
      <c r="E9" s="17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9</v>
      </c>
      <c r="K9" s="3">
        <f t="shared" si="3"/>
        <v>0.9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18" t="s">
        <v>80</v>
      </c>
      <c r="E10" s="17" t="s">
        <v>80</v>
      </c>
      <c r="F10" s="13" t="b">
        <f t="shared" si="0"/>
        <v>1</v>
      </c>
      <c r="H10" s="1" t="s">
        <v>82</v>
      </c>
      <c r="I10" s="1">
        <f t="shared" si="1"/>
        <v>10</v>
      </c>
      <c r="J10" s="1">
        <f t="shared" si="2"/>
        <v>4</v>
      </c>
      <c r="K10" s="3">
        <f t="shared" si="3"/>
        <v>0.4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8" t="s">
        <v>77</v>
      </c>
      <c r="E11" s="17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9</v>
      </c>
      <c r="K11" s="3">
        <f t="shared" si="3"/>
        <v>0.9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8" t="s">
        <v>76</v>
      </c>
      <c r="E12" s="17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7" t="s">
        <v>76</v>
      </c>
      <c r="F13" s="13" t="b">
        <f t="shared" si="0"/>
        <v>1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18" t="s">
        <v>80</v>
      </c>
      <c r="E14" s="17" t="s">
        <v>80</v>
      </c>
      <c r="F14" s="13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18" t="s">
        <v>76</v>
      </c>
      <c r="E15" s="17" t="s">
        <v>76</v>
      </c>
      <c r="F15" s="13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27</v>
      </c>
      <c r="K15" s="4">
        <f>J15/I15</f>
        <v>0.79411764705882348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18" t="s">
        <v>79</v>
      </c>
      <c r="E16" s="17" t="s">
        <v>79</v>
      </c>
      <c r="F16" s="13" t="b">
        <f t="shared" si="0"/>
        <v>1</v>
      </c>
      <c r="H16" s="1" t="s">
        <v>257</v>
      </c>
      <c r="I16" s="6">
        <f>COUNTIF(C2:C71, "Medium")</f>
        <v>21</v>
      </c>
      <c r="J16" s="1">
        <f>COUNTIFS(C2:C71, "Medium", F2:F71, TRUE)</f>
        <v>17</v>
      </c>
      <c r="K16" s="4">
        <f t="shared" ref="K16:K17" si="4">J16/I16</f>
        <v>0.80952380952380953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18" t="s">
        <v>77</v>
      </c>
      <c r="E17" s="17" t="s">
        <v>77</v>
      </c>
      <c r="F17" s="13" t="b">
        <f t="shared" si="0"/>
        <v>1</v>
      </c>
      <c r="H17" s="1" t="s">
        <v>256</v>
      </c>
      <c r="I17" s="1">
        <f>COUNTIF(C2:C71, "Long")</f>
        <v>15</v>
      </c>
      <c r="J17" s="1">
        <f>COUNTIFS(C2:C71, "Long", F2:F71, TRUE)</f>
        <v>13</v>
      </c>
      <c r="K17" s="4">
        <f t="shared" si="4"/>
        <v>0.8666666666666667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18" t="s">
        <v>79</v>
      </c>
      <c r="E18" s="17" t="s">
        <v>79</v>
      </c>
      <c r="F18" s="13" t="b">
        <f t="shared" si="0"/>
        <v>1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8" t="s">
        <v>252</v>
      </c>
      <c r="E19" s="17" t="s">
        <v>252</v>
      </c>
      <c r="F19" s="13" t="b">
        <f t="shared" si="0"/>
        <v>1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8" t="s">
        <v>79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18" t="s">
        <v>77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8" t="s">
        <v>82</v>
      </c>
      <c r="E22" s="17" t="s">
        <v>82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18" t="s">
        <v>81</v>
      </c>
      <c r="E23" s="17" t="s">
        <v>81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1</v>
      </c>
      <c r="K23" s="10">
        <f>J23/I9</f>
        <v>0.1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7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18" t="s">
        <v>81</v>
      </c>
      <c r="E25" s="17" t="s">
        <v>81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18" t="s">
        <v>81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18" t="s">
        <v>79</v>
      </c>
      <c r="E27" s="17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8" t="s">
        <v>76</v>
      </c>
      <c r="E28" s="17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8" t="s">
        <v>77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7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18" t="s">
        <v>252</v>
      </c>
      <c r="E31" s="17" t="s">
        <v>252</v>
      </c>
      <c r="F31" s="13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18" t="s">
        <v>77</v>
      </c>
      <c r="E32" s="17" t="s">
        <v>77</v>
      </c>
      <c r="F32" s="13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8" t="s">
        <v>76</v>
      </c>
      <c r="E33" s="17" t="s">
        <v>76</v>
      </c>
      <c r="F33" s="13" t="b">
        <f t="shared" si="0"/>
        <v>1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18" t="s">
        <v>77</v>
      </c>
      <c r="E34" s="17" t="s">
        <v>77</v>
      </c>
      <c r="F34" s="13" t="b">
        <f t="shared" si="0"/>
        <v>1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8" t="s">
        <v>80</v>
      </c>
      <c r="E35" s="17" t="s">
        <v>80</v>
      </c>
      <c r="F35" s="13" t="b">
        <f t="shared" si="0"/>
        <v>1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18" t="s">
        <v>80</v>
      </c>
      <c r="E36" s="17" t="s">
        <v>80</v>
      </c>
      <c r="F36" s="13" t="b">
        <f t="shared" si="0"/>
        <v>1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18" t="s">
        <v>81</v>
      </c>
      <c r="E37" s="17" t="s">
        <v>81</v>
      </c>
      <c r="F37" s="13" t="b">
        <f t="shared" si="0"/>
        <v>1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18" t="s">
        <v>252</v>
      </c>
      <c r="E38" s="17" t="s">
        <v>252</v>
      </c>
      <c r="F38" s="13" t="b">
        <f t="shared" si="0"/>
        <v>1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18" t="s">
        <v>79</v>
      </c>
      <c r="E39" s="17" t="s">
        <v>79</v>
      </c>
      <c r="F39" s="13" t="b">
        <f t="shared" si="0"/>
        <v>1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8" t="s">
        <v>82</v>
      </c>
      <c r="E40" s="17" t="s">
        <v>82</v>
      </c>
      <c r="F40" s="13" t="b">
        <f t="shared" si="0"/>
        <v>1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18" t="s">
        <v>81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8" t="s">
        <v>81</v>
      </c>
      <c r="E42" s="17" t="s">
        <v>81</v>
      </c>
      <c r="F42" s="13" t="b">
        <f t="shared" si="0"/>
        <v>1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18" t="s">
        <v>81</v>
      </c>
      <c r="E43" s="17" t="s">
        <v>81</v>
      </c>
      <c r="F43" s="13" t="b">
        <f t="shared" si="0"/>
        <v>1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8" t="s">
        <v>80</v>
      </c>
      <c r="E44" s="17" t="s">
        <v>80</v>
      </c>
      <c r="F44" s="13" t="b">
        <f t="shared" si="0"/>
        <v>1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18" t="s">
        <v>252</v>
      </c>
      <c r="E45" s="17" t="s">
        <v>252</v>
      </c>
      <c r="F45" s="13" t="b">
        <f t="shared" si="0"/>
        <v>1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8" t="s">
        <v>81</v>
      </c>
      <c r="E46" s="17" t="s">
        <v>81</v>
      </c>
      <c r="F46" s="13" t="b">
        <f t="shared" si="0"/>
        <v>1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18" t="s">
        <v>81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8" t="s">
        <v>77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8" t="s">
        <v>81</v>
      </c>
      <c r="E49" s="17" t="s">
        <v>81</v>
      </c>
      <c r="F49" s="13" t="b">
        <f t="shared" si="0"/>
        <v>1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8" t="s">
        <v>81</v>
      </c>
      <c r="E50" s="17" t="s">
        <v>81</v>
      </c>
      <c r="F50" s="13" t="b">
        <f t="shared" si="0"/>
        <v>1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18" t="s">
        <v>77</v>
      </c>
      <c r="E51" s="17" t="s">
        <v>77</v>
      </c>
      <c r="F51" s="13" t="b">
        <f t="shared" si="0"/>
        <v>1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8" t="s">
        <v>76</v>
      </c>
      <c r="E52" s="17" t="s">
        <v>76</v>
      </c>
      <c r="F52" s="13" t="b">
        <f t="shared" si="0"/>
        <v>1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8" t="s">
        <v>82</v>
      </c>
      <c r="E53" s="17" t="s">
        <v>82</v>
      </c>
      <c r="F53" s="13" t="b">
        <f t="shared" si="0"/>
        <v>1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18" t="s">
        <v>77</v>
      </c>
      <c r="E54" s="17" t="s">
        <v>77</v>
      </c>
      <c r="F54" s="13" t="b">
        <f t="shared" si="0"/>
        <v>1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18" t="s">
        <v>81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18" t="s">
        <v>252</v>
      </c>
      <c r="E56" s="17" t="s">
        <v>252</v>
      </c>
      <c r="F56" s="13" t="b">
        <f t="shared" si="0"/>
        <v>1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18" t="s">
        <v>77</v>
      </c>
      <c r="E57" s="17" t="s">
        <v>77</v>
      </c>
      <c r="F57" s="13" t="b">
        <f t="shared" si="0"/>
        <v>1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18" t="s">
        <v>77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8" t="s">
        <v>81</v>
      </c>
      <c r="E59" s="17" t="s">
        <v>81</v>
      </c>
      <c r="F59" s="13" t="b">
        <f t="shared" si="0"/>
        <v>1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18" t="s">
        <v>77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8" t="s">
        <v>252</v>
      </c>
      <c r="E61" s="17" t="s">
        <v>252</v>
      </c>
      <c r="F61" s="13" t="b">
        <f t="shared" si="0"/>
        <v>1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8" t="s">
        <v>252</v>
      </c>
      <c r="E62" s="17" t="s">
        <v>252</v>
      </c>
      <c r="F62" s="13" t="b">
        <f t="shared" si="0"/>
        <v>1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18" t="s">
        <v>81</v>
      </c>
      <c r="E63" s="17" t="s">
        <v>81</v>
      </c>
      <c r="F63" s="13" t="b">
        <f t="shared" si="0"/>
        <v>1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18" t="s">
        <v>252</v>
      </c>
      <c r="E64" s="17" t="s">
        <v>252</v>
      </c>
      <c r="F64" s="13" t="b">
        <f t="shared" si="0"/>
        <v>1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8" t="s">
        <v>76</v>
      </c>
      <c r="E65" s="17" t="s">
        <v>76</v>
      </c>
      <c r="F65" s="13" t="b">
        <f t="shared" si="0"/>
        <v>1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8" t="s">
        <v>81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18" t="s">
        <v>82</v>
      </c>
      <c r="E67" s="17" t="s">
        <v>82</v>
      </c>
      <c r="F67" s="13" t="b">
        <f t="shared" ref="F67:F71" si="7">IF(D67=E67, TRUE, FALSE)</f>
        <v>1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18" t="s">
        <v>77</v>
      </c>
      <c r="E68" s="17" t="s">
        <v>77</v>
      </c>
      <c r="F68" s="13" t="b">
        <f t="shared" si="7"/>
        <v>1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18" t="s">
        <v>77</v>
      </c>
      <c r="E69" s="17" t="s">
        <v>77</v>
      </c>
      <c r="F69" s="13" t="b">
        <f t="shared" si="7"/>
        <v>1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18" t="s">
        <v>80</v>
      </c>
      <c r="E70" s="17" t="s">
        <v>80</v>
      </c>
      <c r="F70" s="13" t="b">
        <f t="shared" si="7"/>
        <v>1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18" t="s">
        <v>76</v>
      </c>
      <c r="E71" s="17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8" t="s">
        <v>79</v>
      </c>
      <c r="E2" s="1" t="s">
        <v>79</v>
      </c>
      <c r="F2" s="1" t="b">
        <f>IF(D2=E2, TRUE, FALSE)</f>
        <v>1</v>
      </c>
      <c r="H2" s="1">
        <v>140</v>
      </c>
      <c r="I2" s="1">
        <f>COUNTIF(F2:F141, TRUE)</f>
        <v>110</v>
      </c>
      <c r="J2" s="4">
        <f>I2/H2</f>
        <v>0.7857142857142857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8" t="s">
        <v>80</v>
      </c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8" t="s">
        <v>77</v>
      </c>
      <c r="E4" s="1" t="s">
        <v>77</v>
      </c>
      <c r="F4" s="13" t="b">
        <f t="shared" si="0"/>
        <v>1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8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8" t="s">
        <v>77</v>
      </c>
      <c r="E6" s="1" t="s">
        <v>77</v>
      </c>
      <c r="F6" s="13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20</v>
      </c>
      <c r="K6" s="3">
        <f>J6/I6</f>
        <v>1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8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16</v>
      </c>
      <c r="K7" s="3">
        <f t="shared" ref="K7:K12" si="3">J7/I7</f>
        <v>0.8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8" t="s">
        <v>80</v>
      </c>
      <c r="E8" s="1" t="s">
        <v>80</v>
      </c>
      <c r="F8" s="13" t="b">
        <f t="shared" si="0"/>
        <v>1</v>
      </c>
      <c r="H8" s="1" t="s">
        <v>79</v>
      </c>
      <c r="I8" s="1">
        <f t="shared" si="1"/>
        <v>20</v>
      </c>
      <c r="J8" s="1">
        <f t="shared" si="2"/>
        <v>17</v>
      </c>
      <c r="K8" s="3">
        <f t="shared" si="3"/>
        <v>0.85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8" t="s">
        <v>80</v>
      </c>
      <c r="E9" s="1" t="s">
        <v>80</v>
      </c>
      <c r="F9" s="13" t="b">
        <f t="shared" si="0"/>
        <v>1</v>
      </c>
      <c r="H9" s="1" t="s">
        <v>77</v>
      </c>
      <c r="I9" s="1">
        <f t="shared" si="1"/>
        <v>20</v>
      </c>
      <c r="J9" s="1">
        <f t="shared" si="2"/>
        <v>18</v>
      </c>
      <c r="K9" s="3">
        <f t="shared" si="3"/>
        <v>0.9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8" t="s">
        <v>252</v>
      </c>
      <c r="E10" s="1" t="s">
        <v>252</v>
      </c>
      <c r="F10" s="13" t="b">
        <f t="shared" si="0"/>
        <v>1</v>
      </c>
      <c r="H10" s="1" t="s">
        <v>82</v>
      </c>
      <c r="I10" s="1">
        <f t="shared" si="1"/>
        <v>20</v>
      </c>
      <c r="J10" s="1">
        <f t="shared" si="2"/>
        <v>3</v>
      </c>
      <c r="K10" s="3">
        <f t="shared" si="3"/>
        <v>0.15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17</v>
      </c>
      <c r="K11" s="3">
        <f t="shared" si="3"/>
        <v>0.85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8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19</v>
      </c>
      <c r="K12" s="3">
        <f t="shared" si="3"/>
        <v>0.95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8" t="s">
        <v>80</v>
      </c>
      <c r="E13" s="1" t="s">
        <v>80</v>
      </c>
      <c r="F13" s="13" t="b">
        <f t="shared" si="0"/>
        <v>1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8" t="s">
        <v>77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80</v>
      </c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54</v>
      </c>
      <c r="K15" s="4">
        <f>J15/I15</f>
        <v>0.81818181818181823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79</v>
      </c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43</v>
      </c>
      <c r="K16" s="4">
        <f t="shared" ref="K16:K17" si="4">J16/I16</f>
        <v>0.84313725490196079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252</v>
      </c>
      <c r="E17" s="1" t="s">
        <v>252</v>
      </c>
      <c r="F17" s="13" t="b">
        <f t="shared" si="0"/>
        <v>1</v>
      </c>
      <c r="H17" s="6" t="s">
        <v>256</v>
      </c>
      <c r="I17" s="6">
        <f>COUNTIF(C2:C141, "Long")</f>
        <v>23</v>
      </c>
      <c r="J17" s="6">
        <f>COUNTIFS(C2:C141, "Long", F2:F141, TRUE)</f>
        <v>13</v>
      </c>
      <c r="K17" s="4">
        <f t="shared" si="4"/>
        <v>0.56521739130434778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8" t="s">
        <v>79</v>
      </c>
      <c r="E18" s="1" t="s">
        <v>79</v>
      </c>
      <c r="F18" s="13" t="b">
        <f t="shared" si="0"/>
        <v>1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8" t="s">
        <v>77</v>
      </c>
      <c r="E19" s="1" t="s">
        <v>77</v>
      </c>
      <c r="F19" s="13" t="b">
        <f t="shared" si="0"/>
        <v>1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81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81</v>
      </c>
      <c r="E21" s="1" t="s">
        <v>81</v>
      </c>
      <c r="F21" s="13" t="b">
        <f t="shared" si="0"/>
        <v>1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8" t="s">
        <v>77</v>
      </c>
      <c r="E23" s="1" t="s">
        <v>77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8" t="s">
        <v>77</v>
      </c>
      <c r="E24" s="1" t="s">
        <v>77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8" t="s">
        <v>79</v>
      </c>
      <c r="E25" s="1" t="s">
        <v>79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8" t="s">
        <v>79</v>
      </c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77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77</v>
      </c>
      <c r="E28" s="1" t="s">
        <v>77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8" t="s">
        <v>81</v>
      </c>
      <c r="E30" s="1" t="s">
        <v>81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8" t="s">
        <v>77</v>
      </c>
      <c r="E31" s="1" t="s">
        <v>77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1</v>
      </c>
      <c r="K31" s="10">
        <f>J31/I12</f>
        <v>0.05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8" t="s">
        <v>252</v>
      </c>
      <c r="E32" s="1" t="s">
        <v>252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8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8" t="s">
        <v>80</v>
      </c>
      <c r="E34" s="1" t="s">
        <v>80</v>
      </c>
      <c r="F34" s="13" t="b">
        <f t="shared" si="0"/>
        <v>1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8" t="s">
        <v>252</v>
      </c>
      <c r="E35" s="1" t="s">
        <v>252</v>
      </c>
      <c r="F35" s="13" t="b">
        <f t="shared" si="0"/>
        <v>1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8" t="s">
        <v>76</v>
      </c>
      <c r="E36" s="1" t="s">
        <v>76</v>
      </c>
      <c r="F36" s="13" t="b">
        <f t="shared" si="0"/>
        <v>1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8" t="s">
        <v>76</v>
      </c>
      <c r="E37" s="1" t="s">
        <v>76</v>
      </c>
      <c r="F37" s="13" t="b">
        <f t="shared" si="0"/>
        <v>1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8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8" t="s">
        <v>77</v>
      </c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8" t="s">
        <v>77</v>
      </c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8" t="s">
        <v>77</v>
      </c>
      <c r="E41" s="1" t="s">
        <v>77</v>
      </c>
      <c r="F41" s="13" t="b">
        <f t="shared" si="0"/>
        <v>1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8" t="s">
        <v>80</v>
      </c>
      <c r="E42" s="1" t="s">
        <v>80</v>
      </c>
      <c r="F42" s="13" t="b">
        <f t="shared" si="0"/>
        <v>1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8" t="s">
        <v>76</v>
      </c>
      <c r="E43" s="1" t="s">
        <v>76</v>
      </c>
      <c r="F43" s="13" t="b">
        <f t="shared" si="0"/>
        <v>1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8" t="s">
        <v>79</v>
      </c>
      <c r="E45" s="1" t="s">
        <v>79</v>
      </c>
      <c r="F45" s="13" t="b">
        <f t="shared" si="0"/>
        <v>1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8" t="s">
        <v>252</v>
      </c>
      <c r="E46" s="1" t="s">
        <v>252</v>
      </c>
      <c r="F46" s="13" t="b">
        <f t="shared" si="0"/>
        <v>1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8" t="s">
        <v>76</v>
      </c>
      <c r="E47" s="1" t="s">
        <v>76</v>
      </c>
      <c r="F47" s="13" t="b">
        <f t="shared" si="0"/>
        <v>1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8" t="s">
        <v>81</v>
      </c>
      <c r="E50" s="1" t="s">
        <v>81</v>
      </c>
      <c r="F50" s="13" t="b">
        <f t="shared" si="0"/>
        <v>1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8" t="s">
        <v>80</v>
      </c>
      <c r="E51" s="1" t="s">
        <v>80</v>
      </c>
      <c r="F51" s="13" t="b">
        <f t="shared" si="0"/>
        <v>1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8" t="s">
        <v>77</v>
      </c>
      <c r="E52" s="1" t="s">
        <v>77</v>
      </c>
      <c r="F52" s="13" t="b">
        <f t="shared" si="0"/>
        <v>1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8" t="s">
        <v>76</v>
      </c>
      <c r="E53" s="1" t="s">
        <v>76</v>
      </c>
      <c r="F53" s="13" t="b">
        <f t="shared" si="0"/>
        <v>1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79</v>
      </c>
      <c r="E54" s="1" t="s">
        <v>79</v>
      </c>
      <c r="F54" s="13" t="b">
        <f t="shared" si="0"/>
        <v>1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8" t="s">
        <v>77</v>
      </c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82</v>
      </c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8" t="s">
        <v>76</v>
      </c>
      <c r="E57" s="1" t="s">
        <v>76</v>
      </c>
      <c r="F57" s="13" t="b">
        <f t="shared" si="0"/>
        <v>1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8" t="s">
        <v>79</v>
      </c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8" t="s">
        <v>79</v>
      </c>
      <c r="E59" s="1" t="s">
        <v>79</v>
      </c>
      <c r="F59" s="13" t="b">
        <f t="shared" si="0"/>
        <v>1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8" t="s">
        <v>79</v>
      </c>
      <c r="E60" s="1" t="s">
        <v>79</v>
      </c>
      <c r="F60" s="13" t="b">
        <f t="shared" si="0"/>
        <v>1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8" t="s">
        <v>76</v>
      </c>
      <c r="E61" s="1" t="s">
        <v>76</v>
      </c>
      <c r="F61" s="13" t="b">
        <f t="shared" si="0"/>
        <v>1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252</v>
      </c>
      <c r="E62" s="1" t="s">
        <v>252</v>
      </c>
      <c r="F62" s="13" t="b">
        <f t="shared" si="0"/>
        <v>1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8" t="s">
        <v>79</v>
      </c>
      <c r="E63" s="1" t="s">
        <v>79</v>
      </c>
      <c r="F63" s="13" t="b">
        <f t="shared" si="0"/>
        <v>1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8" t="s">
        <v>77</v>
      </c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81</v>
      </c>
      <c r="E65" s="1" t="s">
        <v>81</v>
      </c>
      <c r="F65" s="13" t="b">
        <f t="shared" si="0"/>
        <v>1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80</v>
      </c>
      <c r="E66" s="1" t="s">
        <v>80</v>
      </c>
      <c r="F66" s="13" t="b">
        <f t="shared" si="0"/>
        <v>1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8" t="s">
        <v>79</v>
      </c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8" t="s">
        <v>77</v>
      </c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80</v>
      </c>
      <c r="E69" s="1" t="s">
        <v>80</v>
      </c>
      <c r="F69" s="13" t="b">
        <f t="shared" si="7"/>
        <v>1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81</v>
      </c>
      <c r="E71" s="1" t="s">
        <v>81</v>
      </c>
      <c r="F71" s="13" t="b">
        <f t="shared" si="7"/>
        <v>1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8" t="s">
        <v>252</v>
      </c>
      <c r="E72" s="1" t="s">
        <v>252</v>
      </c>
      <c r="F72" s="13" t="b">
        <f t="shared" si="7"/>
        <v>1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8" t="s">
        <v>77</v>
      </c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252</v>
      </c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8" t="s">
        <v>81</v>
      </c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8" t="s">
        <v>82</v>
      </c>
      <c r="E77" s="1" t="s">
        <v>82</v>
      </c>
      <c r="F77" s="13" t="b">
        <f t="shared" si="7"/>
        <v>1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8" t="s">
        <v>81</v>
      </c>
      <c r="E78" s="1" t="s">
        <v>81</v>
      </c>
      <c r="F78" s="13" t="b">
        <f t="shared" si="7"/>
        <v>1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8" t="s">
        <v>81</v>
      </c>
      <c r="E79" s="1" t="s">
        <v>81</v>
      </c>
      <c r="F79" s="13" t="b">
        <f t="shared" si="7"/>
        <v>1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8" t="s">
        <v>79</v>
      </c>
      <c r="E81" s="1" t="s">
        <v>79</v>
      </c>
      <c r="F81" s="13" t="b">
        <f t="shared" si="7"/>
        <v>1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8" t="s">
        <v>80</v>
      </c>
      <c r="E82" s="1" t="s">
        <v>80</v>
      </c>
      <c r="F82" s="13" t="b">
        <f t="shared" si="7"/>
        <v>1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8" t="s">
        <v>81</v>
      </c>
      <c r="E83" s="1" t="s">
        <v>81</v>
      </c>
      <c r="F83" s="13" t="b">
        <f t="shared" si="7"/>
        <v>1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252</v>
      </c>
      <c r="E84" s="1" t="s">
        <v>252</v>
      </c>
      <c r="F84" s="13" t="b">
        <f t="shared" si="7"/>
        <v>1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8" t="s">
        <v>77</v>
      </c>
      <c r="E85" s="1" t="s">
        <v>77</v>
      </c>
      <c r="F85" s="13" t="b">
        <f t="shared" si="7"/>
        <v>1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77</v>
      </c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8" t="s">
        <v>77</v>
      </c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252</v>
      </c>
      <c r="E88" s="1" t="s">
        <v>252</v>
      </c>
      <c r="F88" s="13" t="b">
        <f t="shared" si="7"/>
        <v>1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8" t="s">
        <v>79</v>
      </c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8" t="s">
        <v>79</v>
      </c>
      <c r="E91" s="1" t="s">
        <v>79</v>
      </c>
      <c r="F91" s="13" t="b">
        <f t="shared" si="7"/>
        <v>1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8" t="s">
        <v>77</v>
      </c>
      <c r="E93" s="1" t="s">
        <v>77</v>
      </c>
      <c r="F93" s="13" t="b">
        <f t="shared" si="7"/>
        <v>1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77</v>
      </c>
      <c r="E94" s="1" t="s">
        <v>77</v>
      </c>
      <c r="F94" s="13" t="b">
        <f t="shared" si="7"/>
        <v>1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77</v>
      </c>
      <c r="E95" s="1" t="s">
        <v>77</v>
      </c>
      <c r="F95" s="13" t="b">
        <f t="shared" si="7"/>
        <v>1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8" t="s">
        <v>76</v>
      </c>
      <c r="E96" s="1" t="s">
        <v>76</v>
      </c>
      <c r="F96" s="13" t="b">
        <f t="shared" si="7"/>
        <v>1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8" t="s">
        <v>77</v>
      </c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8" t="s">
        <v>252</v>
      </c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79</v>
      </c>
      <c r="E100" s="1" t="s">
        <v>79</v>
      </c>
      <c r="F100" s="13" t="b">
        <f t="shared" si="7"/>
        <v>1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252</v>
      </c>
      <c r="E101" s="1" t="s">
        <v>252</v>
      </c>
      <c r="F101" s="13" t="b">
        <f t="shared" si="7"/>
        <v>1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8" t="s">
        <v>252</v>
      </c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80</v>
      </c>
      <c r="E103" s="1" t="s">
        <v>80</v>
      </c>
      <c r="F103" s="13" t="b">
        <f t="shared" si="7"/>
        <v>1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77</v>
      </c>
      <c r="E104" s="1" t="s">
        <v>77</v>
      </c>
      <c r="F104" s="13" t="b">
        <f t="shared" si="7"/>
        <v>1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8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81</v>
      </c>
      <c r="E106" s="1" t="s">
        <v>81</v>
      </c>
      <c r="F106" s="13" t="b">
        <f t="shared" si="7"/>
        <v>1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8" t="s">
        <v>79</v>
      </c>
      <c r="E107" s="1" t="s">
        <v>79</v>
      </c>
      <c r="F107" s="13" t="b">
        <f t="shared" si="7"/>
        <v>1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79</v>
      </c>
      <c r="E109" s="1" t="s">
        <v>79</v>
      </c>
      <c r="F109" s="13" t="b">
        <f t="shared" si="7"/>
        <v>1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8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8" t="s">
        <v>252</v>
      </c>
      <c r="E112" s="1" t="s">
        <v>252</v>
      </c>
      <c r="F112" s="13" t="b">
        <f t="shared" si="7"/>
        <v>1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8" t="s">
        <v>77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8" t="s">
        <v>77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8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82</v>
      </c>
      <c r="E117" s="1" t="s">
        <v>82</v>
      </c>
      <c r="F117" s="13" t="b">
        <f t="shared" si="7"/>
        <v>1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8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E119" s="1" t="s">
        <v>252</v>
      </c>
      <c r="F119" s="13" t="b">
        <f t="shared" si="7"/>
        <v>1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82</v>
      </c>
      <c r="E120" s="1" t="s">
        <v>82</v>
      </c>
      <c r="F120" s="13" t="b">
        <f t="shared" si="7"/>
        <v>1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8" t="s">
        <v>76</v>
      </c>
      <c r="E124" s="1" t="s">
        <v>76</v>
      </c>
      <c r="F124" s="13" t="b">
        <f t="shared" si="7"/>
        <v>1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80</v>
      </c>
      <c r="E125" s="1" t="s">
        <v>80</v>
      </c>
      <c r="F125" s="13" t="b">
        <f t="shared" si="7"/>
        <v>1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79</v>
      </c>
      <c r="E126" s="1" t="s">
        <v>79</v>
      </c>
      <c r="F126" s="13" t="b">
        <f t="shared" si="7"/>
        <v>1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80</v>
      </c>
      <c r="E128" s="1" t="s">
        <v>80</v>
      </c>
      <c r="F128" s="13" t="b">
        <f t="shared" si="7"/>
        <v>1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252</v>
      </c>
      <c r="E129" s="1" t="s">
        <v>252</v>
      </c>
      <c r="F129" s="13" t="b">
        <f t="shared" si="7"/>
        <v>1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252</v>
      </c>
      <c r="E130" s="1" t="s">
        <v>252</v>
      </c>
      <c r="F130" s="13" t="b">
        <f t="shared" si="7"/>
        <v>1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79</v>
      </c>
      <c r="E134" s="1" t="s">
        <v>79</v>
      </c>
      <c r="F134" s="13" t="b">
        <f t="shared" si="8"/>
        <v>1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8" t="s">
        <v>80</v>
      </c>
      <c r="E135" s="1" t="s">
        <v>80</v>
      </c>
      <c r="F135" s="13" t="b">
        <f t="shared" si="8"/>
        <v>1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8" t="s">
        <v>252</v>
      </c>
      <c r="E136" s="1" t="s">
        <v>252</v>
      </c>
      <c r="F136" s="13" t="b">
        <f t="shared" si="8"/>
        <v>1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8" t="s">
        <v>252</v>
      </c>
      <c r="E137" s="1" t="s">
        <v>252</v>
      </c>
      <c r="F137" s="13" t="b">
        <f t="shared" si="8"/>
        <v>1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8" t="s">
        <v>80</v>
      </c>
      <c r="E138" s="1" t="s">
        <v>80</v>
      </c>
      <c r="F138" s="13" t="b">
        <f t="shared" si="8"/>
        <v>1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79</v>
      </c>
      <c r="E140" s="1" t="s">
        <v>79</v>
      </c>
      <c r="F140" s="13" t="b">
        <f t="shared" si="8"/>
        <v>1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81</v>
      </c>
      <c r="E141" s="1" t="s">
        <v>81</v>
      </c>
      <c r="F141" s="13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161</v>
      </c>
      <c r="J2" s="4">
        <f>I2/H2</f>
        <v>0.76666666666666672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27</v>
      </c>
      <c r="K6" s="3">
        <f>J6/I6</f>
        <v>0.9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26</v>
      </c>
      <c r="K7" s="3">
        <f t="shared" ref="K7:K12" si="3">J7/I7</f>
        <v>0.8666666666666667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20</v>
      </c>
      <c r="K8" s="3">
        <f t="shared" si="3"/>
        <v>0.66666666666666663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22</v>
      </c>
      <c r="K9" s="3">
        <f t="shared" si="3"/>
        <v>0.73333333333333328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13</v>
      </c>
      <c r="K10" s="3">
        <f t="shared" si="3"/>
        <v>0.43333333333333335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24</v>
      </c>
      <c r="K11" s="3">
        <f t="shared" si="3"/>
        <v>0.8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77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74</v>
      </c>
      <c r="K15" s="4">
        <f>J15/I15</f>
        <v>0.77083333333333337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74</v>
      </c>
      <c r="K16" s="4">
        <f t="shared" ref="K16:K17" si="4">J16/I16</f>
        <v>0.77083333333333337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13</v>
      </c>
      <c r="K17" s="4">
        <f t="shared" si="4"/>
        <v>0.72222222222222221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77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252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252</v>
      </c>
      <c r="E27" s="1" t="s">
        <v>252</v>
      </c>
      <c r="F27" s="13" t="b">
        <f t="shared" si="0"/>
        <v>1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82</v>
      </c>
      <c r="E34" s="1" t="s">
        <v>82</v>
      </c>
      <c r="F34" s="13" t="b">
        <f t="shared" si="0"/>
        <v>1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252</v>
      </c>
      <c r="E35" s="1" t="s">
        <v>252</v>
      </c>
      <c r="F35" s="13" t="b">
        <f t="shared" si="0"/>
        <v>1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252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82</v>
      </c>
      <c r="E43" s="1" t="s">
        <v>82</v>
      </c>
      <c r="F43" s="13" t="b">
        <f t="shared" si="0"/>
        <v>1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252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252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82</v>
      </c>
      <c r="E54" s="1" t="s">
        <v>82</v>
      </c>
      <c r="F54" s="13" t="b">
        <f t="shared" si="0"/>
        <v>1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252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77</v>
      </c>
      <c r="E66" s="1" t="s">
        <v>77</v>
      </c>
      <c r="F66" s="13" t="b">
        <f t="shared" si="0"/>
        <v>1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77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252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82</v>
      </c>
      <c r="E72" s="1" t="s">
        <v>82</v>
      </c>
      <c r="F72" s="13" t="b">
        <f t="shared" si="7"/>
        <v>1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81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81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77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82</v>
      </c>
      <c r="E89" s="1" t="s">
        <v>82</v>
      </c>
      <c r="F89" s="13" t="b">
        <f t="shared" si="7"/>
        <v>1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252</v>
      </c>
      <c r="E99" s="1" t="s">
        <v>252</v>
      </c>
      <c r="F99" s="13" t="b">
        <f t="shared" si="7"/>
        <v>1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252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252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252</v>
      </c>
      <c r="E103" s="1" t="s">
        <v>252</v>
      </c>
      <c r="F103" s="13" t="b">
        <f t="shared" si="7"/>
        <v>1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77</v>
      </c>
      <c r="E107" s="1" t="s">
        <v>77</v>
      </c>
      <c r="F107" s="13" t="b">
        <f t="shared" si="7"/>
        <v>1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80</v>
      </c>
      <c r="E109" s="1" t="s">
        <v>80</v>
      </c>
      <c r="F109" s="13" t="b">
        <f t="shared" si="7"/>
        <v>1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82</v>
      </c>
      <c r="E111" s="1" t="s">
        <v>82</v>
      </c>
      <c r="F111" s="13" t="b">
        <f t="shared" si="7"/>
        <v>1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252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252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252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77</v>
      </c>
      <c r="E144" s="1" t="s">
        <v>77</v>
      </c>
      <c r="F144" s="13" t="b">
        <f t="shared" si="8"/>
        <v>1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80</v>
      </c>
      <c r="E145" s="1" t="s">
        <v>76</v>
      </c>
      <c r="F145" s="13" t="b">
        <f t="shared" si="8"/>
        <v>0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80</v>
      </c>
      <c r="E146" s="1" t="s">
        <v>80</v>
      </c>
      <c r="F146" s="13" t="b">
        <f t="shared" si="8"/>
        <v>1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77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80</v>
      </c>
      <c r="E151" s="1" t="s">
        <v>80</v>
      </c>
      <c r="F151" s="13" t="b">
        <f t="shared" si="8"/>
        <v>1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77</v>
      </c>
      <c r="E153" s="1" t="s">
        <v>77</v>
      </c>
      <c r="F153" s="13" t="b">
        <f t="shared" si="8"/>
        <v>1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82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252</v>
      </c>
      <c r="E163" s="1" t="s">
        <v>252</v>
      </c>
      <c r="F163" s="13" t="b">
        <f t="shared" si="8"/>
        <v>1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77</v>
      </c>
      <c r="E170" s="1" t="s">
        <v>77</v>
      </c>
      <c r="F170" s="13" t="b">
        <f t="shared" si="8"/>
        <v>1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77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252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252</v>
      </c>
      <c r="E180" s="1" t="s">
        <v>252</v>
      </c>
      <c r="F180" s="13" t="b">
        <f t="shared" si="8"/>
        <v>1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80</v>
      </c>
      <c r="E181" s="1" t="s">
        <v>80</v>
      </c>
      <c r="F181" s="13" t="b">
        <f t="shared" si="8"/>
        <v>1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252</v>
      </c>
      <c r="E185" s="1" t="s">
        <v>252</v>
      </c>
      <c r="F185" s="13" t="b">
        <f t="shared" si="8"/>
        <v>1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77</v>
      </c>
      <c r="E187" s="1" t="s">
        <v>77</v>
      </c>
      <c r="F187" s="13" t="b">
        <f t="shared" si="8"/>
        <v>1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252</v>
      </c>
      <c r="E188" s="1" t="s">
        <v>252</v>
      </c>
      <c r="F188" s="13" t="b">
        <f t="shared" si="8"/>
        <v>1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77</v>
      </c>
      <c r="E190" s="1" t="s">
        <v>77</v>
      </c>
      <c r="F190" s="13" t="b">
        <f t="shared" si="8"/>
        <v>1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82</v>
      </c>
      <c r="E192" s="1" t="s">
        <v>82</v>
      </c>
      <c r="F192" s="13" t="b">
        <f t="shared" si="8"/>
        <v>1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252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252</v>
      </c>
      <c r="E198" s="1" t="s">
        <v>252</v>
      </c>
      <c r="F198" s="13" t="b">
        <f t="shared" si="9"/>
        <v>1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77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77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77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81</v>
      </c>
      <c r="E205" s="1" t="s">
        <v>81</v>
      </c>
      <c r="F205" s="13" t="b">
        <f t="shared" si="9"/>
        <v>1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252</v>
      </c>
      <c r="E207" s="1" t="s">
        <v>252</v>
      </c>
      <c r="F207" s="13" t="b">
        <f t="shared" si="9"/>
        <v>1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80</v>
      </c>
      <c r="E209" s="1" t="s">
        <v>80</v>
      </c>
      <c r="F209" s="13" t="b">
        <f t="shared" si="9"/>
        <v>1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2025-03-23T19:18:23Z</dcterms:modified>
</cp:coreProperties>
</file>