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emini\"/>
    </mc:Choice>
  </mc:AlternateContent>
  <xr:revisionPtr revIDLastSave="0" documentId="13_ncr:1_{3D15658A-76DF-4DB3-BBF1-5242924FAA20}" xr6:coauthVersionLast="47" xr6:coauthVersionMax="47" xr10:uidLastSave="{00000000-0000-0000-0000-000000000000}"/>
  <bookViews>
    <workbookView xWindow="11520" yWindow="0" windowWidth="11520" windowHeight="12360" firstSheet="2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8" r:id="rId8"/>
    <pivotCache cacheId="14" r:id="rId9"/>
    <pivotCache cacheId="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<sst xmlns="http://schemas.openxmlformats.org/spreadsheetml/2006/main" count="2194" uniqueCount="513">
  <si>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</si>
  <si>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</si>
  <si>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</si>
  <si>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</si>
  <si>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</si>
  <si>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</si>
  <si>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</si>
  <si>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</si>
  <si>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</si>
  <si>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</si>
  <si>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</si>
  <si>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</si>
  <si>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</si>
  <si>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</si>
  <si>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</si>
  <si>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</si>
  <si>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</si>
  <si>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</si>
  <si>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</si>
  <si>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</si>
  <si>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</si>
  <si>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</si>
  <si>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</si>
  <si>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</si>
  <si>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</si>
  <si>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</si>
  <si>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</si>
  <si>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</si>
  <si>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</si>
  <si>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</si>
  <si>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</si>
  <si>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</si>
  <si>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</si>
  <si>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</si>
  <si>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</si>
  <si>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</si>
  <si>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</si>
  <si>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</si>
  <si>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</si>
  <si>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</si>
  <si>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</si>
  <si>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</si>
  <si>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</si>
  <si>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</si>
  <si>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</si>
  <si>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</si>
  <si>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</si>
  <si>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</si>
  <si>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</si>
  <si>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</si>
  <si>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</si>
  <si>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</si>
  <si>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</si>
  <si>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</si>
  <si>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</si>
  <si>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</si>
  <si>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</si>
  <si>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</si>
  <si>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</si>
  <si>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</si>
  <si>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</si>
  <si>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</si>
  <si>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</si>
  <si>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</si>
  <si>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</si>
  <si>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</si>
  <si>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</si>
  <si>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</si>
  <si>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</si>
  <si>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</si>
  <si>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</si>
  <si>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</si>
  <si>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</si>
  <si>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</si>
  <si>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</si>
  <si>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</si>
  <si>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</si>
  <si>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</si>
  <si>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</si>
  <si>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</si>
  <si>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</si>
  <si>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</si>
  <si>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</si>
  <si>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</si>
  <si>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</si>
  <si>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</si>
  <si>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</si>
  <si>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</si>
  <si>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</si>
  <si>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</si>
  <si>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</si>
  <si>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</si>
  <si>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</si>
  <si>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</si>
  <si>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</si>
  <si>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</si>
  <si>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</si>
  <si>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</si>
  <si>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</si>
  <si>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</si>
  <si>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</si>
  <si>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</si>
  <si>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</si>
  <si>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</si>
  <si>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</si>
  <si>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</si>
  <si>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</si>
  <si>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</si>
  <si>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</si>
  <si>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</si>
  <si>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</si>
  <si>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</si>
  <si>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</si>
  <si>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</si>
  <si>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</si>
  <si>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</si>
  <si>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</si>
  <si>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</si>
  <si>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</si>
  <si>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</si>
  <si>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</si>
  <si>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</si>
  <si>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</si>
  <si>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</si>
  <si>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</si>
  <si>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</si>
  <si>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</si>
  <si>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</si>
  <si>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</si>
  <si>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</si>
  <si>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</si>
  <si>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</si>
  <si>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</si>
  <si>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</si>
  <si>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</si>
  <si>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</si>
  <si>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</si>
  <si>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</si>
  <si>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</si>
  <si>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</si>
  <si>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</si>
  <si>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</si>
  <si>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</si>
  <si>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</si>
  <si>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</si>
  <si>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</si>
  <si>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</si>
  <si>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</si>
  <si>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</si>
  <si>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</si>
  <si>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</si>
  <si>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</si>
  <si>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</si>
  <si>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</si>
  <si>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</si>
  <si>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</si>
  <si>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</si>
  <si>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</si>
  <si>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</si>
  <si>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</si>
  <si>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</si>
  <si>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</si>
  <si>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</si>
  <si>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</si>
  <si>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</si>
  <si>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</si>
  <si>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</si>
  <si>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</si>
  <si>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</si>
  <si>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</si>
  <si>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</si>
  <si>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</si>
  <si>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</si>
  <si>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</si>
  <si>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</si>
  <si>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</si>
  <si>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</si>
  <si>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</si>
  <si>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</si>
  <si>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</si>
  <si>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</si>
  <si>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</si>
  <si>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</si>
  <si>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</si>
  <si>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</si>
  <si>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</si>
  <si>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</si>
  <si>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</si>
  <si>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</si>
  <si>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</si>
  <si>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</si>
  <si>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</si>
  <si>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</si>
  <si>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</si>
  <si>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</si>
  <si>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</si>
  <si>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</si>
  <si>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</si>
  <si>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</si>
  <si>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</si>
  <si>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</si>
  <si>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</si>
  <si>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</si>
  <si>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</si>
  <si>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</si>
  <si>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</si>
  <si>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</si>
  <si>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</si>
  <si>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</si>
  <si>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</si>
  <si>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</si>
  <si>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</si>
  <si>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</si>
  <si>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</si>
  <si>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</si>
  <si>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</si>
  <si>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</si>
  <si>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</si>
  <si>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</si>
  <si>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</si>
  <si>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</si>
  <si>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</si>
  <si>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</si>
  <si>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</si>
  <si>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</si>
  <si>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</si>
  <si>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</si>
  <si>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</si>
  <si>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</si>
  <si>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</si>
  <si>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</si>
  <si>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</si>
  <si>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</si>
  <si>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</si>
  <si>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</si>
  <si>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</si>
  <si>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</si>
  <si>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</si>
  <si>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</si>
  <si>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</si>
  <si>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</si>
  <si>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</si>
  <si>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</si>
  <si>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</si>
  <si>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</si>
  <si>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</si>
  <si>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</si>
  <si>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</si>
  <si>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</si>
  <si>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</si>
  <si>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</si>
  <si>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</si>
  <si>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</si>
  <si>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</si>
  <si>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</si>
  <si>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</si>
  <si>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</si>
  <si>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</si>
  <si>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</si>
  <si>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</si>
  <si>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</si>
  <si>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</si>
  <si>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</si>
  <si>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</si>
  <si>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</si>
  <si>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</si>
  <si>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</si>
  <si>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</si>
  <si>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</si>
  <si>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</si>
  <si>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</si>
  <si>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</si>
  <si>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</si>
  <si>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</si>
  <si>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</si>
  <si>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</si>
  <si>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</si>
  <si>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</si>
  <si>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</si>
  <si>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</si>
  <si>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</si>
  <si>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</si>
  <si>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</si>
  <si>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</si>
  <si>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</si>
  <si>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</si>
  <si>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</si>
  <si>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</si>
  <si>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</si>
  <si>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</si>
  <si>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</si>
  <si>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</si>
  <si>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</si>
  <si>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</si>
  <si>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</si>
  <si>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</si>
  <si>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</si>
  <si>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</si>
  <si>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</si>
  <si>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</si>
  <si>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</si>
  <si>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</si>
  <si>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</si>
  <si>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</si>
  <si>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</si>
  <si>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</si>
  <si>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</si>
  <si>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</si>
  <si>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</si>
  <si>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</si>
  <si>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</si>
  <si>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</si>
  <si>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</si>
  <si>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</si>
  <si>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</si>
  <si>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</si>
  <si>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</si>
  <si>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</si>
  <si>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</si>
  <si>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</si>
  <si>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</si>
  <si>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</si>
  <si>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</si>
  <si>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</si>
  <si>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</si>
  <si>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</si>
  <si>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</si>
  <si>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</si>
  <si>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</si>
  <si>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</si>
  <si>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</si>
  <si>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</si>
  <si>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</si>
  <si>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</si>
  <si>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</si>
  <si>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</si>
  <si>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</si>
  <si>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</si>
  <si>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</si>
  <si>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</si>
  <si>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</si>
  <si>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</si>
  <si>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</si>
  <si>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</si>
  <si>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</si>
  <si>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</si>
  <si>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</si>
  <si>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</si>
  <si>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</si>
  <si>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</si>
  <si>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</si>
  <si>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</si>
  <si>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</si>
  <si>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</si>
  <si>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</si>
  <si>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</si>
  <si>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</si>
  <si>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</si>
  <si>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</si>
  <si>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</si>
  <si>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</si>
  <si>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</si>
  <si>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</si>
  <si>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</si>
  <si>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</si>
  <si>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</si>
  <si>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</si>
  <si>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</si>
  <si>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</si>
  <si>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</si>
  <si>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</si>
  <si>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</si>
  <si>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</si>
  <si>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</si>
  <si>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</si>
  <si>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</si>
  <si>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</si>
  <si>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</si>
  <si>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</si>
  <si>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</si>
  <si>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</si>
  <si>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</si>
  <si>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</si>
  <si>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</si>
  <si>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</si>
  <si>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</si>
  <si>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</si>
  <si>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</si>
  <si>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</si>
  <si>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</si>
  <si>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</si>
  <si>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</si>
  <si>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</si>
  <si>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</si>
  <si>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</si>
  <si>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</si>
  <si>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</si>
  <si>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</si>
  <si>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</si>
  <si>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</si>
  <si>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</si>
  <si>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</si>
  <si>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</si>
  <si>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</si>
  <si>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</si>
  <si>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</si>
  <si>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</si>
  <si>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</si>
  <si>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</si>
  <si>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</si>
  <si>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</si>
  <si>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</si>
  <si>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</si>
  <si>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</si>
  <si>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</si>
  <si>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</si>
  <si>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</si>
  <si>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</si>
  <si>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</si>
  <si>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</si>
  <si>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</si>
  <si>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</si>
  <si>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</si>
  <si>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</si>
  <si>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</si>
  <si>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</si>
  <si>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</si>
  <si>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</si>
  <si>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</si>
  <si>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</si>
  <si>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</si>
  <si>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</si>
  <si>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</si>
  <si>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</si>
  <si>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</si>
  <si>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</si>
  <si>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</si>
  <si>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</si>
  <si>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</si>
  <si>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</si>
  <si>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</si>
  <si>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</si>
  <si>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</si>
  <si>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</si>
  <si>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</si>
  <si>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</si>
  <si>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</si>
  <si>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</si>
  <si>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</si>
  <si>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</si>
  <si>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</si>
  <si>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</si>
  <si>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</si>
  <si>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</si>
  <si>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</si>
  <si>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</si>
  <si>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</si>
  <si>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</si>
  <si>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</si>
  <si>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</si>
  <si>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</si>
  <si>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</si>
  <si>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</si>
  <si>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</si>
  <si>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</si>
  <si>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</si>
  <si>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</si>
  <si>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</si>
  <si>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</si>
  <si>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</si>
  <si>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</si>
  <si>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</si>
  <si>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</si>
  <si>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</si>
  <si>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</si>
  <si>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</si>
  <si>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</si>
  <si>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</si>
  <si>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</si>
  <si>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</si>
  <si>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</si>
  <si>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</si>
  <si>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</si>
  <si>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</si>
  <si>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</si>
  <si>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</si>
  <si>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</si>
  <si>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</si>
  <si>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</si>
  <si>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</si>
  <si>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</si>
  <si>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</si>
  <si>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</si>
  <si>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</si>
  <si>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</si>
  <si>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</si>
  <si>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</si>
  <si>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</si>
  <si>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</si>
  <si>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</si>
  <si>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</si>
  <si>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</si>
  <si>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</si>
  <si>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</si>
  <si>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</si>
  <si>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</si>
  <si>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</si>
  <si>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</si>
  <si>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</si>
  <si>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</si>
  <si>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</si>
  <si>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LEB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</si>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</sst>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FFFFFF"/>
      <name val="Noto Sans"/>
      <family val="2"/>
    </font>
    <font>
      <sz val="9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E0C2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5-4AD3-B93C-D69B7DF9760E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11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5-4AD3-B93C-D69B7DF9760E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1</c:v>
                </c:pt>
                <c:pt idx="3">
                  <c:v>27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5-4AD3-B93C-D69B7DF9760E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2">
                  <c:v>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5-4AD3-B93C-D69B7DF9760E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5-4AD3-B93C-D69B7DF9760E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0">
                  <c:v>9</c:v>
                </c:pt>
                <c:pt idx="1">
                  <c:v>5</c:v>
                </c:pt>
                <c:pt idx="2">
                  <c:v>6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95-4AD3-B93C-D69B7DF9760E}"/>
            </c:ext>
          </c:extLst>
        </c:ser>
        <c:ser>
          <c:idx val="7"/>
          <c:order val="7"/>
          <c:tx>
            <c:strRef>
              <c:f>T3PT!$I$3:$I$4</c:f>
              <c:strCache>
                <c:ptCount val="1"/>
                <c:pt idx="0">
                  <c:v>LEB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T3PT!$I$5:$I$11</c:f>
              <c:numCache>
                <c:formatCode>General</c:formatCode>
                <c:ptCount val="7"/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5-4AD3-B93C-D69B7DF9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16</c:v>
                </c:pt>
                <c:pt idx="1">
                  <c:v>54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2</c:v>
                </c:pt>
                <c:pt idx="1">
                  <c:v>42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F-4D60-A7C8-96C8F1C64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1">
                  <c:v>3</c:v>
                </c:pt>
                <c:pt idx="2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9-43C3-B747-DF2C80DE1154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9-43C3-B747-DF2C80DE1154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15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9-43C3-B747-DF2C80DE1154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9-43C3-B747-DF2C80DE1154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9-43C3-B747-DF2C80DE1154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29-43C3-B747-DF2C80DE1154}"/>
            </c:ext>
          </c:extLst>
        </c:ser>
        <c:ser>
          <c:idx val="7"/>
          <c:order val="7"/>
          <c:tx>
            <c:strRef>
              <c:f>T2PT!$I$3:$I$4</c:f>
              <c:strCache>
                <c:ptCount val="1"/>
                <c:pt idx="0">
                  <c:v>LEB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T2PT!$I$5:$I$11</c:f>
              <c:numCache>
                <c:formatCode>General</c:formatCode>
                <c:ptCount val="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29-43C3-B747-DF2C80DE1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20</c:v>
                </c:pt>
                <c:pt idx="1">
                  <c:v>33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3</c:v>
                </c:pt>
                <c:pt idx="1">
                  <c:v>18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D-46F9-8C47-B8882CED2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5-4D7B-B064-3190BB7F0B97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1">
                  <c:v>1</c:v>
                </c:pt>
                <c:pt idx="2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5-4D7B-B064-3190BB7F0B97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5-4D7B-B064-3190BB7F0B97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5-4D7B-B064-3190BB7F0B97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5-4D7B-B064-3190BB7F0B97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65-4D7B-B064-3190BB7F0B97}"/>
            </c:ext>
          </c:extLst>
        </c:ser>
        <c:ser>
          <c:idx val="7"/>
          <c:order val="7"/>
          <c:tx>
            <c:strRef>
              <c:f>T1PT!$I$3:$I$4</c:f>
              <c:strCache>
                <c:ptCount val="1"/>
                <c:pt idx="0">
                  <c:v>LEB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T1PT!$I$5:$I$11</c:f>
              <c:numCache>
                <c:formatCode>General</c:formatCode>
                <c:ptCount val="7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65-4D7B-B064-3190BB7F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Fanar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7</c:v>
                </c:pt>
                <c:pt idx="1">
                  <c:v>10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D-4AEF-B4F6-0DD16AEE0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001083564814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9">
        <s v="NA"/>
        <s v="GULF"/>
        <s v="YEM"/>
        <s v="NILE"/>
        <s v="IRAQ"/>
        <s v="LEV"/>
        <s v="MSA"/>
        <s v="LEB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00108402777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9">
        <s v="GULF"/>
        <s v="IRAQ"/>
        <s v="MSA"/>
        <s v="NILE"/>
        <s v="LEB"/>
        <s v="YEM"/>
        <s v="LEV"/>
        <s v="NA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41.001084490737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9">
        <s v="LEV"/>
        <s v="NILE"/>
        <s v="YEM"/>
        <s v="IRAQ"/>
        <s v="GULF"/>
        <s v="NA"/>
        <s v="MSA"/>
        <s v="LEB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1"/>
  </r>
  <r>
    <s v="يا ولد، ليش ما رديت على اتصالاتي؟ كنت با أحاول أتصل بك من الصبح."/>
    <x v="0"/>
    <x v="2"/>
    <x v="2"/>
    <x v="0"/>
  </r>
  <r>
    <s v=" أنا شفت الفيلم اللي نزل الأسبوع اللي فات، جان كلش حلو وبي ضحك بنفس الوقت."/>
    <x v="0"/>
    <x v="3"/>
    <x v="1"/>
    <x v="1"/>
  </r>
  <r>
    <s v="شكو ماكو."/>
    <x v="1"/>
    <x v="4"/>
    <x v="1"/>
    <x v="0"/>
  </r>
  <r>
    <s v="بغيتي تبدل هاد العدسات بشي وحدين قصاح؟"/>
    <x v="2"/>
    <x v="5"/>
    <x v="0"/>
    <x v="1"/>
  </r>
  <r>
    <s v="ما يصير الواحد ينسى أهله وأصحابه، لازم نتواصل وياهم دايماً ونزورهم"/>
    <x v="0"/>
    <x v="6"/>
    <x v="3"/>
    <x v="1"/>
  </r>
  <r>
    <s v="هل يمكنني أن أكل كل حبة الفاكهة هذه ؟"/>
    <x v="2"/>
    <x v="2"/>
    <x v="4"/>
    <x v="1"/>
  </r>
  <r>
    <s v="أنا تعبان شوية اليوم، ما نمت زين البارحة، يمكن أريد أرتاح شوية."/>
    <x v="0"/>
    <x v="4"/>
    <x v="1"/>
    <x v="0"/>
  </r>
  <r>
    <s v="يصير ادفع بجيكات سياحية؟"/>
    <x v="1"/>
    <x v="1"/>
    <x v="3"/>
    <x v="0"/>
  </r>
  <r>
    <s v="عليك أن تحجز مقدما ."/>
    <x v="1"/>
    <x v="6"/>
    <x v="4"/>
    <x v="0"/>
  </r>
  <r>
    <s v="اشعر بالتعب الشديد . من فضلك استدع طبيباً ."/>
    <x v="2"/>
    <x v="6"/>
    <x v="4"/>
    <x v="0"/>
  </r>
  <r>
    <s v="يا شباب، اكو مكان يبيع أثاث مستعمل نظيف؟"/>
    <x v="2"/>
    <x v="1"/>
    <x v="1"/>
    <x v="1"/>
  </r>
  <r>
    <s v="الحساب من فضلك ."/>
    <x v="1"/>
    <x v="6"/>
    <x v="4"/>
    <x v="0"/>
  </r>
  <r>
    <s v="أنا تعبان شوي اليوم، ما نمت منيح الليلة الماضية، يمكن بدي أرتاح شوي."/>
    <x v="0"/>
    <x v="5"/>
    <x v="5"/>
    <x v="0"/>
  </r>
  <r>
    <s v="أبا عطرلو ما عليك أمر."/>
    <x v="1"/>
    <x v="2"/>
    <x v="3"/>
    <x v="1"/>
  </r>
  <r>
    <s v=" يا ناس، حدا بيعرف إيمتى بتخلص الامتحانات؟ خلص زهقنا من الدراسة."/>
    <x v="0"/>
    <x v="1"/>
    <x v="5"/>
    <x v="1"/>
  </r>
  <r>
    <s v="واش هاد القطار كايتوقف فبالتيمور؟"/>
    <x v="2"/>
    <x v="0"/>
    <x v="0"/>
    <x v="0"/>
  </r>
  <r>
    <s v="رجاءا اكتب عنوانك هوني."/>
    <x v="1"/>
    <x v="6"/>
    <x v="1"/>
    <x v="1"/>
  </r>
  <r>
    <s v="يبن عمي، اسمعني دقيقه! "/>
    <x v="1"/>
    <x v="2"/>
    <x v="2"/>
    <x v="0"/>
  </r>
  <r>
    <s v="شا اتصل ب واحد."/>
    <x v="1"/>
    <x v="2"/>
    <x v="2"/>
    <x v="0"/>
  </r>
  <r>
    <s v="على طول لو سمحت ."/>
    <x v="1"/>
    <x v="6"/>
    <x v="6"/>
    <x v="1"/>
  </r>
  <r>
    <s v="دير بالك، السقف قصير."/>
    <x v="1"/>
    <x v="5"/>
    <x v="5"/>
    <x v="0"/>
  </r>
  <r>
    <s v="إزيكوا يا جماعة؟"/>
    <x v="1"/>
    <x v="3"/>
    <x v="6"/>
    <x v="0"/>
  </r>
  <r>
    <s v="وأنا جالس أنقز هنا أستنى"/>
    <x v="1"/>
    <x v="1"/>
    <x v="2"/>
    <x v="1"/>
  </r>
  <r>
    <s v="حدا بيعرف إيمتى بتخلص الامتحانات؟ "/>
    <x v="2"/>
    <x v="1"/>
    <x v="5"/>
    <x v="1"/>
  </r>
  <r>
    <s v="لا أريد شيئاً آخر ، من فضلك ."/>
    <x v="2"/>
    <x v="6"/>
    <x v="4"/>
    <x v="0"/>
  </r>
  <r>
    <s v="تركت شنطتي بشي مطرح."/>
    <x v="1"/>
    <x v="2"/>
    <x v="5"/>
    <x v="1"/>
  </r>
  <r>
    <s v="لكن التكلفة تزداد , أليس كذلك ؟"/>
    <x v="2"/>
    <x v="6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2"/>
    <x v="3"/>
    <x v="1"/>
  </r>
  <r>
    <s v="هل يمكنك أن تقوم بضبطها الآن ؟"/>
    <x v="2"/>
    <x v="6"/>
    <x v="4"/>
    <x v="0"/>
  </r>
  <r>
    <s v="اي، بعض الغرف تطل على الحديقة، بس وايد غالية."/>
    <x v="2"/>
    <x v="1"/>
    <x v="3"/>
    <x v="0"/>
  </r>
  <r>
    <s v="هاي الغرفة كولش صغيره."/>
    <x v="1"/>
    <x v="5"/>
    <x v="1"/>
    <x v="1"/>
  </r>
  <r>
    <s v=" جنت أحاول أتصل بيك من الصبح."/>
    <x v="2"/>
    <x v="2"/>
    <x v="1"/>
    <x v="1"/>
  </r>
  <r>
    <s v="بطني واجعاني شديد"/>
    <x v="1"/>
    <x v="4"/>
    <x v="6"/>
    <x v="1"/>
  </r>
  <r>
    <s v="الجو زوين برا"/>
    <x v="1"/>
    <x v="1"/>
    <x v="0"/>
    <x v="1"/>
  </r>
  <r>
    <s v="شو عم تعمل؟"/>
    <x v="1"/>
    <x v="5"/>
    <x v="5"/>
    <x v="0"/>
  </r>
  <r>
    <s v="اشتي العب تنس."/>
    <x v="1"/>
    <x v="3"/>
    <x v="2"/>
    <x v="1"/>
  </r>
  <r>
    <s v="بسرعة قبل ما السوق يسدّ."/>
    <x v="1"/>
    <x v="1"/>
    <x v="2"/>
    <x v="1"/>
  </r>
  <r>
    <s v="في واحد خبط فيا. وبعديها ملقتش محفظتي."/>
    <x v="2"/>
    <x v="3"/>
    <x v="6"/>
    <x v="0"/>
  </r>
  <r>
    <s v="عاوز أعمل لي تأمين."/>
    <x v="1"/>
    <x v="7"/>
    <x v="6"/>
    <x v="1"/>
  </r>
  <r>
    <s v="اكو اي ليموزين؟"/>
    <x v="1"/>
    <x v="2"/>
    <x v="1"/>
    <x v="1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5"/>
    <x v="6"/>
    <x v="1"/>
  </r>
  <r>
    <s v="تعال نشرب لنا كاسة شاهي بالحليب ونسمر شوية"/>
    <x v="2"/>
    <x v="4"/>
    <x v="2"/>
    <x v="1"/>
  </r>
  <r>
    <s v="بأثر شي اذا دقيتلك بعدين؟"/>
    <x v="1"/>
    <x v="2"/>
    <x v="5"/>
    <x v="1"/>
  </r>
  <r>
    <s v="على الساحل الشرقي، حتلاقي كمان أماكن مشهورة، زي نيويورك، وواشنطن دي سي وبوسطن."/>
    <x v="0"/>
    <x v="6"/>
    <x v="6"/>
    <x v="1"/>
  </r>
  <r>
    <s v="ازاي أرجع؟"/>
    <x v="1"/>
    <x v="3"/>
    <x v="6"/>
    <x v="0"/>
  </r>
  <r>
    <s v="كم من الوقت يبغاله من هنا إلى سيتي مول ؟"/>
    <x v="2"/>
    <x v="6"/>
    <x v="3"/>
    <x v="1"/>
  </r>
  <r>
    <s v="أيمكنني أن أبقى ثلاث ليالٍ ؟"/>
    <x v="2"/>
    <x v="6"/>
    <x v="4"/>
    <x v="0"/>
  </r>
  <r>
    <s v="بينتسائل أيش أشل منه؟"/>
    <x v="1"/>
    <x v="2"/>
    <x v="2"/>
    <x v="0"/>
  </r>
  <r>
    <s v="وين رايحين اليوم ؟"/>
    <x v="1"/>
    <x v="1"/>
    <x v="3"/>
    <x v="0"/>
  </r>
  <r>
    <s v="حابب أعمل إتصال لبرات البلد عاليابان."/>
    <x v="2"/>
    <x v="6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1"/>
    <x v="3"/>
    <x v="0"/>
  </r>
  <r>
    <s v="تعرف كيف الناس يجوا مثل الجراد وما يخلو شي وراهم"/>
    <x v="2"/>
    <x v="6"/>
    <x v="2"/>
    <x v="1"/>
  </r>
  <r>
    <s v="عايز الهدوم دى تتكوى."/>
    <x v="1"/>
    <x v="4"/>
    <x v="6"/>
    <x v="1"/>
  </r>
  <r>
    <s v="دخيلك في عندك اكبر؟"/>
    <x v="1"/>
    <x v="2"/>
    <x v="5"/>
    <x v="1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3"/>
    <x v="6"/>
    <x v="0"/>
  </r>
  <r>
    <s v=" أنا عندي موعد مع الطبيب اليوم، خاصني نمشي قبل الموعد بشوية."/>
    <x v="0"/>
    <x v="5"/>
    <x v="0"/>
    <x v="1"/>
  </r>
  <r>
    <s v="هل يمكن أن أترك هذه العربة خارج الردهة ؟"/>
    <x v="2"/>
    <x v="6"/>
    <x v="4"/>
    <x v="0"/>
  </r>
  <r>
    <s v="ممكن تحولي اياهم لدولارات، لو سمحت؟"/>
    <x v="2"/>
    <x v="3"/>
    <x v="5"/>
    <x v="1"/>
  </r>
  <r>
    <s v="يا صاحبي، متى با ترد الفلوس؟ ولا تشتيني أنسى الموضوع"/>
    <x v="0"/>
    <x v="2"/>
    <x v="2"/>
    <x v="0"/>
  </r>
  <r>
    <s v="أقول لا تسولف بس."/>
    <x v="1"/>
    <x v="4"/>
    <x v="3"/>
    <x v="1"/>
  </r>
  <r>
    <s v="أبا مجبوس دياي؟"/>
    <x v="1"/>
    <x v="2"/>
    <x v="3"/>
    <x v="1"/>
  </r>
  <r>
    <s v="اكو مطعم قريب هوني؟"/>
    <x v="1"/>
    <x v="1"/>
    <x v="1"/>
    <x v="1"/>
  </r>
  <r>
    <s v="نعم إنها جميلة بالفعل."/>
    <x v="1"/>
    <x v="6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0"/>
  </r>
  <r>
    <s v="مشكور ما قصرت. انا وسيد كوقوري مستانسين ان جينا لندن عشان نجتمع معاك وانت واحد من أهم شركائنا."/>
    <x v="1"/>
    <x v="2"/>
    <x v="2"/>
    <x v="0"/>
  </r>
  <r>
    <s v="أعتقد إنت المفروض تقدر تجيب كل الحاجات من السوبر ماركت. لو ماقدرتش، متقلقش. أنا هاروح الصيدلية بكرة."/>
    <x v="1"/>
    <x v="3"/>
    <x v="3"/>
    <x v="1"/>
  </r>
  <r>
    <s v="موتري خرب، لو سمحت تعال سير خده."/>
    <x v="0"/>
    <x v="4"/>
    <x v="2"/>
    <x v="0"/>
  </r>
  <r>
    <s v="شلونكم اليوم؟ الجو اليوم وايد غبار، لازم الواحد يلبس كمامة."/>
    <x v="1"/>
    <x v="0"/>
    <x v="2"/>
    <x v="1"/>
  </r>
  <r>
    <s v="نعم، سيد تانكا. اكو رسالتين الك."/>
    <x v="0"/>
    <x v="2"/>
    <x v="4"/>
    <x v="0"/>
  </r>
  <r>
    <s v="ماكو أكل اليوم؟"/>
    <x v="2"/>
    <x v="5"/>
    <x v="4"/>
    <x v="0"/>
  </r>
  <r>
    <s v="بغيتي تبدل هاد العدسات بشي وحدين قصاح؟"/>
    <x v="0"/>
    <x v="6"/>
    <x v="5"/>
    <x v="0"/>
  </r>
  <r>
    <s v="عليك أن تحجز مقدما ."/>
    <x v="2"/>
    <x v="2"/>
    <x v="6"/>
    <x v="1"/>
  </r>
  <r>
    <s v="أيمكنني أن أبقى ثلاث ليالٍ ؟"/>
    <x v="0"/>
    <x v="2"/>
    <x v="6"/>
    <x v="1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3"/>
    <x v="1"/>
    <x v="0"/>
  </r>
  <r>
    <s v="كلا . إني ياباني ."/>
    <x v="2"/>
    <x v="2"/>
    <x v="6"/>
    <x v="1"/>
  </r>
  <r>
    <s v="وين ممكن ألكى محل يبيع أثاث مستعمل نظيف؟"/>
    <x v="0"/>
    <x v="7"/>
    <x v="4"/>
    <x v="0"/>
  </r>
  <r>
    <s v="فين غاديين اليوم العشية؟"/>
    <x v="2"/>
    <x v="7"/>
    <x v="5"/>
    <x v="1"/>
  </r>
  <r>
    <s v="لك شو عم تساوي؟"/>
    <x v="2"/>
    <x v="6"/>
    <x v="0"/>
    <x v="1"/>
  </r>
  <r>
    <s v="أبا جاي مع ليمون لو ما عليك أمر."/>
    <x v="0"/>
    <x v="5"/>
    <x v="2"/>
    <x v="0"/>
  </r>
  <r>
    <s v="حابب أعمل إتصال لبرات البلد عاليابان ."/>
    <x v="0"/>
    <x v="5"/>
    <x v="0"/>
    <x v="0"/>
  </r>
  <r>
    <s v="ما بينفع الكلام ده ياخي"/>
    <x v="2"/>
    <x v="1"/>
    <x v="3"/>
    <x v="0"/>
  </r>
  <r>
    <s v="اصعد السلم ثم اتجه يميناً . إنه على يسارك ."/>
    <x v="0"/>
    <x v="6"/>
    <x v="6"/>
    <x v="0"/>
  </r>
  <r>
    <s v="وش تبي مني ؟"/>
    <x v="2"/>
    <x v="5"/>
    <x v="2"/>
    <x v="0"/>
  </r>
  <r>
    <s v="شي بيبسي زيرو لأني مسوي دايت ؟"/>
    <x v="0"/>
    <x v="0"/>
    <x v="2"/>
    <x v="1"/>
  </r>
  <r>
    <s v="كيف بدك البيض؟"/>
    <x v="2"/>
    <x v="1"/>
    <x v="0"/>
    <x v="0"/>
  </r>
  <r>
    <s v="بسرعة قبل ما السوق يسدّ"/>
    <x v="2"/>
    <x v="5"/>
    <x v="1"/>
    <x v="1"/>
  </r>
  <r>
    <s v="يا صاحبي ليش تأخرت؟ قد لي ساعتين وأنا جالس أنقز هنا أستنى، لو دريت كان نمت لي شوية"/>
    <x v="1"/>
    <x v="2"/>
    <x v="1"/>
    <x v="0"/>
  </r>
  <r>
    <s v="أبا عطر لو سمحت."/>
    <x v="2"/>
    <x v="2"/>
    <x v="2"/>
    <x v="0"/>
  </r>
  <r>
    <s v="هل يمكن أن أترك هذه العربة خارج الردهة ؟"/>
    <x v="0"/>
    <x v="3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1"/>
  </r>
  <r>
    <s v="واش هاد القطار كايتوقف فبالتيمور؟"/>
    <x v="0"/>
    <x v="7"/>
    <x v="5"/>
    <x v="1"/>
  </r>
  <r>
    <s v="حدا بيعرف إيمتى رح يخلص هالمشروع؟ تأخر كتير وبلشنا نقلق."/>
    <x v="1"/>
    <x v="5"/>
    <x v="0"/>
    <x v="0"/>
  </r>
  <r>
    <s v="شكو ماكو؟"/>
    <x v="2"/>
    <x v="1"/>
    <x v="4"/>
    <x v="1"/>
  </r>
  <r>
    <s v="ما يمكنش الواحد ينسى عائلتو و صحابو، خاصنا نتواصلو معاهم ديما ونزوروهم"/>
    <x v="1"/>
    <x v="3"/>
    <x v="5"/>
    <x v="0"/>
  </r>
  <r>
    <s v="ما كان يجب أن يكون كثيراً هكذا ."/>
    <x v="0"/>
    <x v="2"/>
    <x v="6"/>
    <x v="1"/>
  </r>
  <r>
    <s v="الملابس الطويلة هي الموضة الآن ."/>
    <x v="0"/>
    <x v="6"/>
    <x v="6"/>
    <x v="0"/>
  </r>
  <r>
    <s v="عايز أمشي الدكان ."/>
    <x v="2"/>
    <x v="5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5"/>
    <x v="2"/>
    <x v="0"/>
  </r>
  <r>
    <s v=" أنا أريد أنزل للسوك اليوم أشتري بعض الأغراض للبيت، محتاجين هواي شغلات."/>
    <x v="1"/>
    <x v="1"/>
    <x v="4"/>
    <x v="1"/>
  </r>
  <r>
    <s v="من فضلك غادر الفندق قبل التاسعة ."/>
    <x v="0"/>
    <x v="2"/>
    <x v="6"/>
    <x v="1"/>
  </r>
  <r>
    <s v="يا ولدي، علاش ما جاوبتيش على التيليفون؟"/>
    <x v="0"/>
    <x v="6"/>
    <x v="5"/>
    <x v="0"/>
  </r>
  <r>
    <s v="دير بالك، السقف قصير."/>
    <x v="2"/>
    <x v="6"/>
    <x v="0"/>
    <x v="1"/>
  </r>
  <r>
    <s v="يا الدراري، فين ممكن نلقى شي حانوت كيبيع الماعن المستعمل نقي؟"/>
    <x v="1"/>
    <x v="3"/>
    <x v="5"/>
    <x v="0"/>
  </r>
  <r>
    <s v="بمجرد النظر إليها تبدو وكأنك قد التقطت بعض العدوى منها ."/>
    <x v="1"/>
    <x v="6"/>
    <x v="6"/>
    <x v="0"/>
  </r>
  <r>
    <s v="عايز الهدوم دي تتكوى."/>
    <x v="2"/>
    <x v="5"/>
    <x v="3"/>
    <x v="0"/>
  </r>
  <r>
    <s v="لا أريد شيئاً آخر ."/>
    <x v="2"/>
    <x v="2"/>
    <x v="6"/>
    <x v="1"/>
  </r>
  <r>
    <s v="ازيك عامل ايه النهارده؟"/>
    <x v="2"/>
    <x v="1"/>
    <x v="3"/>
    <x v="0"/>
  </r>
  <r>
    <s v="اني حتى مشي ما جنت امشي"/>
    <x v="2"/>
    <x v="5"/>
    <x v="4"/>
    <x v="0"/>
  </r>
  <r>
    <s v="أبا مجبوس دياي عل الفطور"/>
    <x v="2"/>
    <x v="5"/>
    <x v="2"/>
    <x v="0"/>
  </r>
  <r>
    <s v="أنظر إلى جمالها الفاتن."/>
    <x v="2"/>
    <x v="2"/>
    <x v="6"/>
    <x v="1"/>
  </r>
  <r>
    <s v="أنا بدي أتعلم أطبخ أكلات جديدة."/>
    <x v="0"/>
    <x v="6"/>
    <x v="0"/>
    <x v="1"/>
  </r>
  <r>
    <s v="تعال نشرب لنا كاسة شاهي بالحليب ونسمر شوية."/>
    <x v="0"/>
    <x v="0"/>
    <x v="1"/>
    <x v="0"/>
  </r>
  <r>
    <s v="طوالي عليك الله ."/>
    <x v="2"/>
    <x v="2"/>
    <x v="3"/>
    <x v="0"/>
  </r>
  <r>
    <s v="لقد كانت المزارات في اليونان تاريخية ."/>
    <x v="0"/>
    <x v="2"/>
    <x v="6"/>
    <x v="1"/>
  </r>
  <r>
    <s v="ناس قليلين اللي هايكونوا في الجولة الاختيارية."/>
    <x v="0"/>
    <x v="3"/>
    <x v="3"/>
    <x v="1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3"/>
    <x v="0"/>
    <x v="0"/>
  </r>
  <r>
    <s v="ما هو الأفضل ؟"/>
    <x v="2"/>
    <x v="2"/>
    <x v="6"/>
    <x v="1"/>
  </r>
  <r>
    <s v="باش نسافر من اما مطار؟"/>
    <x v="2"/>
    <x v="0"/>
    <x v="5"/>
    <x v="0"/>
  </r>
  <r>
    <s v="عمبتسأل سعر شو هيدا على فاتورتي ."/>
    <x v="0"/>
    <x v="3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3"/>
    <x v="3"/>
    <x v="1"/>
  </r>
  <r>
    <s v="هاي الغرفة كولش صغيره."/>
    <x v="2"/>
    <x v="6"/>
    <x v="4"/>
    <x v="0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2"/>
    <x v="1"/>
    <x v="0"/>
  </r>
  <r>
    <s v="اكو اي ليموزين؟"/>
    <x v="2"/>
    <x v="5"/>
    <x v="4"/>
    <x v="0"/>
  </r>
  <r>
    <s v="أنا باغي نمشي المول."/>
    <x v="2"/>
    <x v="5"/>
    <x v="5"/>
    <x v="0"/>
  </r>
  <r>
    <s v="ممكن ناخد  لينا أوضة على البحر؟"/>
    <x v="0"/>
    <x v="0"/>
    <x v="3"/>
    <x v="0"/>
  </r>
  <r>
    <s v="راني حاب حقيبة ماكياج."/>
    <x v="2"/>
    <x v="7"/>
    <x v="5"/>
    <x v="1"/>
  </r>
  <r>
    <s v="ماعنديش موعد، بلحاق الحالة مستعجلة."/>
    <x v="0"/>
    <x v="2"/>
    <x v="5"/>
    <x v="0"/>
  </r>
  <r>
    <s v="عمي، با أفكر أتزوج بنتكم."/>
    <x v="2"/>
    <x v="1"/>
    <x v="1"/>
    <x v="0"/>
  </r>
  <r>
    <s v="تروم تساعد رفيقج؟"/>
    <x v="2"/>
    <x v="5"/>
    <x v="2"/>
    <x v="0"/>
  </r>
  <r>
    <s v="ممكن تحولي اياهم لدولارات، لو سمحت؟"/>
    <x v="0"/>
    <x v="2"/>
    <x v="0"/>
    <x v="0"/>
  </r>
  <r>
    <s v="اشتي العب تنس."/>
    <x v="2"/>
    <x v="6"/>
    <x v="1"/>
    <x v="0"/>
  </r>
  <r>
    <s v="داير أرسله بالبريد البري."/>
    <x v="2"/>
    <x v="6"/>
    <x v="3"/>
    <x v="0"/>
  </r>
  <r>
    <s v="في واحد خبط فيا. وبعديها ملقتش محفظتي."/>
    <x v="0"/>
    <x v="3"/>
    <x v="3"/>
    <x v="1"/>
  </r>
  <r>
    <s v="البرفان دة بكام؟"/>
    <x v="2"/>
    <x v="7"/>
    <x v="3"/>
    <x v="0"/>
  </r>
  <r>
    <s v="رح أوصل حوالي الساعة تسعة المسا."/>
    <x v="0"/>
    <x v="2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2"/>
    <x v="3"/>
    <x v="0"/>
  </r>
  <r>
    <s v="أنا عيان شوية اليوم، حسيت ما نعستش مزيان البارح."/>
    <x v="0"/>
    <x v="6"/>
    <x v="5"/>
    <x v="0"/>
  </r>
  <r>
    <s v="يصير ادفع بجيكات سياحية؟"/>
    <x v="2"/>
    <x v="2"/>
    <x v="2"/>
    <x v="0"/>
  </r>
  <r>
    <s v="بأثر شي اذا دقيتلك بعدين؟"/>
    <x v="2"/>
    <x v="5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6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2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1"/>
  </r>
  <r>
    <s v="كم من الوقت يبغاله من هنا لين سيتي هول ؟"/>
    <x v="0"/>
    <x v="2"/>
    <x v="2"/>
    <x v="0"/>
  </r>
  <r>
    <s v="عادي تجوف موتري؟"/>
    <x v="2"/>
    <x v="6"/>
    <x v="2"/>
    <x v="0"/>
  </r>
  <r>
    <s v="هل يمكنك أن تقوم بضبطها الآن ؟"/>
    <x v="0"/>
    <x v="2"/>
    <x v="6"/>
    <x v="1"/>
  </r>
  <r>
    <s v="به هانا اي بقعه يقبلو الغسيل ايام الاحد؟"/>
    <x v="0"/>
    <x v="6"/>
    <x v="1"/>
    <x v="0"/>
  </r>
  <r>
    <s v="جنت أحاول أتصل بيك."/>
    <x v="2"/>
    <x v="5"/>
    <x v="4"/>
    <x v="0"/>
  </r>
  <r>
    <s v="ماشي شي نشتريه."/>
    <x v="2"/>
    <x v="7"/>
    <x v="2"/>
    <x v="0"/>
  </r>
  <r>
    <s v="دخيلك في عندك في اكبر؟"/>
    <x v="2"/>
    <x v="1"/>
    <x v="0"/>
    <x v="0"/>
  </r>
  <r>
    <s v="برشا تعب اليوم."/>
    <x v="2"/>
    <x v="6"/>
    <x v="5"/>
    <x v="0"/>
  </r>
  <r>
    <s v="ماشين وين الليلة؟"/>
    <x v="2"/>
    <x v="0"/>
    <x v="3"/>
    <x v="0"/>
  </r>
  <r>
    <s v="ما أشرب فهوة أني."/>
    <x v="2"/>
    <x v="3"/>
    <x v="4"/>
    <x v="0"/>
  </r>
  <r>
    <s v="ما اقدر اشوف الشاشة زين من هنا. أروم اغير مقعدي؟"/>
    <x v="0"/>
    <x v="6"/>
    <x v="2"/>
    <x v="0"/>
  </r>
  <r>
    <s v="اني  أريد أروح للسوك اليوم ."/>
    <x v="0"/>
    <x v="5"/>
    <x v="4"/>
    <x v="0"/>
  </r>
  <r>
    <s v="عايزة شبشب كويس و كعب عالي عليك الله ."/>
    <x v="0"/>
    <x v="1"/>
    <x v="3"/>
    <x v="0"/>
  </r>
  <r>
    <s v="أنا تعلمت كتير شغلات جديدة بالدورة التدريبية اللي حضرتها الأسبوع اللي فات."/>
    <x v="1"/>
    <x v="2"/>
    <x v="0"/>
    <x v="0"/>
  </r>
  <r>
    <s v="أنا ايش سويت لك؟"/>
    <x v="2"/>
    <x v="5"/>
    <x v="2"/>
    <x v="0"/>
  </r>
  <r>
    <s v="وين بقدر ألائي محل ساعات؟"/>
    <x v="2"/>
    <x v="7"/>
    <x v="0"/>
    <x v="0"/>
  </r>
  <r>
    <s v="يا خويا ممكن تعاوني في تصليح البيسي؟ ما خدامش مزيان من الصباح و باغي نساليه ضروري."/>
    <x v="1"/>
    <x v="6"/>
    <x v="5"/>
    <x v="0"/>
  </r>
  <r>
    <s v="أنا با أريد أعزف."/>
    <x v="2"/>
    <x v="1"/>
    <x v="1"/>
    <x v="0"/>
  </r>
  <r>
    <s v=" الجو اليوم زين بزاف."/>
    <x v="2"/>
    <x v="7"/>
    <x v="5"/>
    <x v="1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2"/>
    <x v="6"/>
    <x v="1"/>
  </r>
  <r>
    <s v=" الجو اليوم فيه غبار شوية، الواحد لازم ينتبه ويغسل وجهه وأيدينه لما يرجع البيت."/>
    <x v="1"/>
    <x v="3"/>
    <x v="1"/>
    <x v="0"/>
  </r>
  <r>
    <s v="ده غالي جداً."/>
    <x v="2"/>
    <x v="3"/>
    <x v="3"/>
    <x v="1"/>
  </r>
  <r>
    <s v="اشتي اخرج من هنا."/>
    <x v="2"/>
    <x v="6"/>
    <x v="1"/>
    <x v="0"/>
  </r>
  <r>
    <s v="ابغى قهوة  لو سمحت."/>
    <x v="2"/>
    <x v="0"/>
    <x v="2"/>
    <x v="1"/>
  </r>
  <r>
    <s v="علاش غالي برشة البوكسار هذا؟"/>
    <x v="0"/>
    <x v="7"/>
    <x v="5"/>
    <x v="1"/>
  </r>
  <r>
    <s v="أشتي توصلني للمطار بسرعة، عندي رحلة بعد ساعة."/>
    <x v="0"/>
    <x v="2"/>
    <x v="1"/>
    <x v="0"/>
  </r>
  <r>
    <s v="الطلعة جانت كلش حلوة"/>
    <x v="2"/>
    <x v="7"/>
    <x v="4"/>
    <x v="0"/>
  </r>
  <r>
    <s v="إتصل على الإسعاف من فضلك."/>
    <x v="2"/>
    <x v="2"/>
    <x v="6"/>
    <x v="1"/>
  </r>
  <r>
    <s v="هل هذا هو كل شيء متضمن في الفاتورة ؟"/>
    <x v="0"/>
    <x v="2"/>
    <x v="6"/>
    <x v="1"/>
  </r>
  <r>
    <s v="فقط إذا كانت ملكك ، سيدي . هاها ، مزحة صغيرة ."/>
    <x v="0"/>
    <x v="7"/>
    <x v="6"/>
    <x v="0"/>
  </r>
  <r>
    <s v="اني اريد أشارك بالمسابقة."/>
    <x v="2"/>
    <x v="5"/>
    <x v="4"/>
    <x v="0"/>
  </r>
  <r>
    <s v="لك حل عني  يزم."/>
    <x v="2"/>
    <x v="6"/>
    <x v="0"/>
    <x v="1"/>
  </r>
  <r>
    <s v="لكن التكلفة تزداد , أليس كذلك ؟"/>
    <x v="0"/>
    <x v="2"/>
    <x v="6"/>
    <x v="1"/>
  </r>
  <r>
    <s v="الإنجاز مالته طموحي بالحياة."/>
    <x v="0"/>
    <x v="2"/>
    <x v="4"/>
    <x v="0"/>
  </r>
  <r>
    <s v="صاحبي مريض برشا. تنجم تكلم طبيب، يعيشك؟"/>
    <x v="0"/>
    <x v="5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2"/>
    <x v="6"/>
    <x v="1"/>
  </r>
  <r>
    <s v="ايوه، كل اللي انت عاوزو شامبو و سيشوار ."/>
    <x v="0"/>
    <x v="5"/>
    <x v="3"/>
    <x v="0"/>
  </r>
  <r>
    <s v="رجاءا اكتب عنوانك هوني."/>
    <x v="2"/>
    <x v="2"/>
    <x v="4"/>
    <x v="0"/>
  </r>
  <r>
    <s v="تركت شنطتي بشي مطرح."/>
    <x v="2"/>
    <x v="3"/>
    <x v="0"/>
    <x v="0"/>
  </r>
  <r>
    <s v="الشي الجنت ادور عليه."/>
    <x v="2"/>
    <x v="6"/>
    <x v="4"/>
    <x v="0"/>
  </r>
  <r>
    <s v="كيفاش راك؟"/>
    <x v="2"/>
    <x v="7"/>
    <x v="5"/>
    <x v="1"/>
  </r>
  <r>
    <s v="نحبك بزاف"/>
    <x v="2"/>
    <x v="6"/>
    <x v="5"/>
    <x v="0"/>
  </r>
  <r>
    <s v=" اكدر اكل وجبتي بعدين؟ احس نفسي متخربط هسه."/>
    <x v="0"/>
    <x v="1"/>
    <x v="4"/>
    <x v="1"/>
  </r>
  <r>
    <s v="عندك بيزات؟"/>
    <x v="2"/>
    <x v="0"/>
    <x v="2"/>
    <x v="1"/>
  </r>
  <r>
    <s v="وين الأصانصير؟"/>
    <x v="2"/>
    <x v="5"/>
    <x v="0"/>
    <x v="0"/>
  </r>
  <r>
    <s v="بطني واجعاني شديد."/>
    <x v="2"/>
    <x v="3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كو حد اسكتلندي ؟"/>
    <x v="0"/>
    <x v="0"/>
    <x v="3"/>
    <x v="0"/>
  </r>
  <r>
    <s v="أشتي شاي عدني."/>
    <x v="0"/>
    <x v="3"/>
    <x v="4"/>
    <x v="0"/>
  </r>
  <r>
    <s v="دخيلك في عندك اكبر؟"/>
    <x v="0"/>
    <x v="4"/>
    <x v="2"/>
    <x v="0"/>
  </r>
  <r>
    <s v="باش نسافر من اما مطار؟"/>
    <x v="0"/>
    <x v="0"/>
    <x v="5"/>
    <x v="0"/>
  </r>
  <r>
    <s v="عاوز لي لابتوب جديد ."/>
    <x v="0"/>
    <x v="1"/>
    <x v="0"/>
    <x v="1"/>
  </r>
  <r>
    <s v="وين رايح هلأ؟"/>
    <x v="0"/>
    <x v="2"/>
    <x v="2"/>
    <x v="0"/>
  </r>
  <r>
    <s v="شكو ماكو؟"/>
    <x v="0"/>
    <x v="3"/>
    <x v="3"/>
    <x v="1"/>
  </r>
  <r>
    <s v="نحبك بزاف."/>
    <x v="0"/>
    <x v="5"/>
    <x v="5"/>
    <x v="1"/>
  </r>
  <r>
    <s v="لا توسوس، الأمور طيبة، لا تجلس تفكر كثير."/>
    <x v="1"/>
    <x v="6"/>
    <x v="4"/>
    <x v="0"/>
  </r>
  <r>
    <s v="بدي تطولي كمام جاكيت الرياضة هاد."/>
    <x v="1"/>
    <x v="0"/>
    <x v="2"/>
    <x v="1"/>
  </r>
  <r>
    <s v="لك شو عم تعمل ؟"/>
    <x v="0"/>
    <x v="0"/>
    <x v="2"/>
    <x v="1"/>
  </r>
  <r>
    <s v="كنت ماشي و لقيتك في الشارع مع ناسك."/>
    <x v="1"/>
    <x v="0"/>
    <x v="0"/>
    <x v="0"/>
  </r>
  <r>
    <s v="هل اكو اي جوله صباحيي؟"/>
    <x v="0"/>
    <x v="4"/>
    <x v="3"/>
    <x v="0"/>
  </r>
  <r>
    <s v="أني أريد أروح للسوك اليوم حتى أشتري بعض الأغراض للبيت."/>
    <x v="2"/>
    <x v="6"/>
    <x v="3"/>
    <x v="0"/>
  </r>
  <r>
    <s v="يبن عمي، ليش تأخرت؟ قدنا واقف هنا ساعة كأني حارس بوابة."/>
    <x v="2"/>
    <x v="4"/>
    <x v="4"/>
    <x v="0"/>
  </r>
  <r>
    <s v="هل لك أن تزكري لي مطعما جيدا ؟"/>
    <x v="1"/>
    <x v="6"/>
    <x v="1"/>
    <x v="1"/>
  </r>
  <r>
    <s v="بسرعة قبل ما السوق يسدّ."/>
    <x v="0"/>
    <x v="4"/>
    <x v="4"/>
    <x v="0"/>
  </r>
  <r>
    <s v="تعال نشرب لنا كاسة شاهي بالحليب ونسمر شوية."/>
    <x v="1"/>
    <x v="4"/>
    <x v="4"/>
    <x v="0"/>
  </r>
  <r>
    <s v=" يا ولد ليش لهسة ما خلصت واجباتك؟"/>
    <x v="1"/>
    <x v="2"/>
    <x v="3"/>
    <x v="0"/>
  </r>
  <r>
    <s v="وين بقدر ألائي محل ساعات؟"/>
    <x v="0"/>
    <x v="0"/>
    <x v="2"/>
    <x v="1"/>
  </r>
  <r>
    <s v="حي الله عينك، والله ما قصرت."/>
    <x v="1"/>
    <x v="4"/>
    <x v="6"/>
    <x v="1"/>
  </r>
  <r>
    <s v="غادي ناخد الرحلة طناش لطوكيو."/>
    <x v="1"/>
    <x v="5"/>
    <x v="5"/>
    <x v="1"/>
  </r>
  <r>
    <s v="أنا كنت كانفكر نمشي لشي رحلة قصيرة نهاية السيمانة الجاية."/>
    <x v="2"/>
    <x v="6"/>
    <x v="5"/>
    <x v="0"/>
  </r>
  <r>
    <s v="عندك بطاريات للكاميرا دي؟"/>
    <x v="0"/>
    <x v="6"/>
    <x v="0"/>
    <x v="0"/>
  </r>
  <r>
    <s v="بمجرد النظر إليها تبدو وكأنك قد التقطت بعض العدوى منها ."/>
    <x v="2"/>
    <x v="6"/>
    <x v="1"/>
    <x v="1"/>
  </r>
  <r>
    <s v="ما كان يجب أن يكون كثيراً هكذا ."/>
    <x v="1"/>
    <x v="6"/>
    <x v="1"/>
    <x v="1"/>
  </r>
  <r>
    <s v="لذلك ارغب في استبدالها ؟"/>
    <x v="0"/>
    <x v="6"/>
    <x v="1"/>
    <x v="1"/>
  </r>
  <r>
    <s v="أجري يا زول ."/>
    <x v="0"/>
    <x v="3"/>
    <x v="0"/>
    <x v="0"/>
  </r>
  <r>
    <s v="لو سمحت، احكيلي عن شوية شوارع كويسة للتسوق."/>
    <x v="1"/>
    <x v="4"/>
    <x v="2"/>
    <x v="0"/>
  </r>
  <r>
    <s v="أنا با أريد أخلص الشغل بسرعة."/>
    <x v="1"/>
    <x v="2"/>
    <x v="4"/>
    <x v="1"/>
  </r>
  <r>
    <s v="شفت الفيلم اللي نزل السيمانة اللي فاتت؟ "/>
    <x v="1"/>
    <x v="1"/>
    <x v="5"/>
    <x v="0"/>
  </r>
  <r>
    <s v="مالك في إيه يا عم ؟"/>
    <x v="0"/>
    <x v="7"/>
    <x v="0"/>
    <x v="0"/>
  </r>
  <r>
    <s v="على الساحل الشرقي، حتلاقي كمان أماكن مشهورة، زي نيويورك، وواشنطن دي سي وبوسطن."/>
    <x v="2"/>
    <x v="6"/>
    <x v="0"/>
    <x v="0"/>
  </r>
  <r>
    <s v="أمشي جيب حاجات من الدكان عليك الله."/>
    <x v="1"/>
    <x v="4"/>
    <x v="0"/>
    <x v="0"/>
  </r>
  <r>
    <s v="ممكن احصل مخابرة تكعدني بالخمسة ونص باجر الصبح؟"/>
    <x v="1"/>
    <x v="2"/>
    <x v="3"/>
    <x v="0"/>
  </r>
  <r>
    <s v=" فين بغينا نمشيو نتعشاو الليلة؟"/>
    <x v="1"/>
    <x v="4"/>
    <x v="5"/>
    <x v="0"/>
  </r>
  <r>
    <s v=" أنا باغي نجرب مطعم جديد سمعت عليه هضرة زوينة في الأيام اللي فاتت."/>
    <x v="2"/>
    <x v="2"/>
    <x v="5"/>
    <x v="0"/>
  </r>
  <r>
    <s v="روحي دغري و بروم عالشمال هونيك."/>
    <x v="1"/>
    <x v="0"/>
    <x v="2"/>
    <x v="1"/>
  </r>
  <r>
    <s v="ممكن تساعديني في ترتيب الأغراض في الدولاب؟ أنا ما عندي وقت اليوم وبا أريد أخلص الشغل بسرعة."/>
    <x v="2"/>
    <x v="3"/>
    <x v="4"/>
    <x v="0"/>
  </r>
  <r>
    <s v="راني حاب حقيبة ماكياج."/>
    <x v="0"/>
    <x v="5"/>
    <x v="5"/>
    <x v="1"/>
  </r>
  <r>
    <s v="القات اليوم حلو، تعال نتمضغ."/>
    <x v="1"/>
    <x v="2"/>
    <x v="5"/>
    <x v="0"/>
  </r>
  <r>
    <s v="تروم تساعدني؟"/>
    <x v="0"/>
    <x v="0"/>
    <x v="6"/>
    <x v="0"/>
  </r>
  <r>
    <s v="ما عندي وقت والله السموحة."/>
    <x v="1"/>
    <x v="3"/>
    <x v="6"/>
    <x v="0"/>
  </r>
  <r>
    <s v="عاوز قهوة يسطا؟"/>
    <x v="0"/>
    <x v="1"/>
    <x v="0"/>
    <x v="1"/>
  </r>
  <r>
    <s v="هل يمكن أن أترك هذه العربة خارج الردهة ؟"/>
    <x v="1"/>
    <x v="6"/>
    <x v="1"/>
    <x v="1"/>
  </r>
  <r>
    <s v="لقد كانت المزارات في اليونان تاريخية ."/>
    <x v="1"/>
    <x v="6"/>
    <x v="1"/>
    <x v="1"/>
  </r>
  <r>
    <s v="بعد إزنك، من وين بروحو عأكاساكا؟"/>
    <x v="1"/>
    <x v="0"/>
    <x v="2"/>
    <x v="1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6"/>
    <x v="6"/>
    <x v="0"/>
  </r>
  <r>
    <s v="أنا با أريد نجرب مطعم جديد سمعت عنه."/>
    <x v="1"/>
    <x v="2"/>
    <x v="4"/>
    <x v="1"/>
  </r>
  <r>
    <s v=" البيت اللي اشتريناه جديد وحلو كلش وواسع، بيه حديقة جبيرة نكدر نقعد بيها ونستمتع بالجو الحلو بالمساء."/>
    <x v="2"/>
    <x v="3"/>
    <x v="3"/>
    <x v="1"/>
  </r>
  <r>
    <s v="كيف بدك البيض؟"/>
    <x v="0"/>
    <x v="0"/>
    <x v="2"/>
    <x v="1"/>
  </r>
  <r>
    <s v=" الجو اليوم جميل جداً وما يحتاج الواحد يلبس ملابس ثقيلة، الواحد يقدر يتمشى في الكورنيش ويستمتع بالهواء النظيف."/>
    <x v="2"/>
    <x v="4"/>
    <x v="4"/>
    <x v="0"/>
  </r>
  <r>
    <s v="إنت المفروض تجيب كل الحاجات من السوبر ماركت. لو ماقدرتش، متقلقش. أنا هاروح الصيدلية بكرة."/>
    <x v="2"/>
    <x v="3"/>
    <x v="0"/>
    <x v="0"/>
  </r>
  <r>
    <s v="هل يمكنك أن تقوم بضبطها الآن ؟"/>
    <x v="1"/>
    <x v="6"/>
    <x v="1"/>
    <x v="1"/>
  </r>
  <r>
    <s v="أشتي كبسة باللحم، إذا ممكن"/>
    <x v="1"/>
    <x v="2"/>
    <x v="4"/>
    <x v="1"/>
  </r>
  <r>
    <s v="انت عارف، ماعندناش النوع ده من التاكسيات في اليابان ."/>
    <x v="2"/>
    <x v="0"/>
    <x v="0"/>
    <x v="0"/>
  </r>
  <r>
    <s v="بطني واجعاني شديد."/>
    <x v="0"/>
    <x v="1"/>
    <x v="0"/>
    <x v="1"/>
  </r>
  <r>
    <s v="اطيق احجز اجر-سيارة هوني؟"/>
    <x v="0"/>
    <x v="4"/>
    <x v="3"/>
    <x v="0"/>
  </r>
  <r>
    <s v="شنو نوع الجوتي مالك؟"/>
    <x v="0"/>
    <x v="2"/>
    <x v="6"/>
    <x v="0"/>
  </r>
  <r>
    <s v="الجو بره حلو هواي اليوم."/>
    <x v="0"/>
    <x v="4"/>
    <x v="3"/>
    <x v="0"/>
  </r>
  <r>
    <s v="ارحب يبو مسعد؟"/>
    <x v="0"/>
    <x v="3"/>
    <x v="6"/>
    <x v="0"/>
  </r>
  <r>
    <s v="وين يا رجال , وش صار عليك؟"/>
    <x v="1"/>
    <x v="4"/>
    <x v="6"/>
    <x v="1"/>
  </r>
  <r>
    <s v="باخي والله وجع شديد"/>
    <x v="0"/>
    <x v="2"/>
    <x v="0"/>
    <x v="0"/>
  </r>
  <r>
    <s v="ازاي أرجع؟"/>
    <x v="0"/>
    <x v="1"/>
    <x v="0"/>
    <x v="1"/>
  </r>
  <r>
    <s v="غدا غنمشيو للبحر نتفسخو و نتبسطو"/>
    <x v="1"/>
    <x v="1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3"/>
    <x v="4"/>
    <x v="0"/>
  </r>
  <r>
    <s v="صاحبي مريض برشا. تنجم تكلم طبيب، يعيشك؟"/>
    <x v="1"/>
    <x v="1"/>
    <x v="5"/>
    <x v="0"/>
  </r>
  <r>
    <s v="بدي شوية مقانق، عمول معروف ."/>
    <x v="1"/>
    <x v="0"/>
    <x v="2"/>
    <x v="1"/>
  </r>
  <r>
    <s v="لك حل عني يا زلمة"/>
    <x v="0"/>
    <x v="2"/>
    <x v="2"/>
    <x v="0"/>
  </r>
  <r>
    <s v="أبا عطر لو ما عليك أمر."/>
    <x v="0"/>
    <x v="6"/>
    <x v="6"/>
    <x v="0"/>
  </r>
  <r>
    <s v="رح أوصل حوالي الساعة تسعة المسا."/>
    <x v="1"/>
    <x v="4"/>
    <x v="2"/>
    <x v="0"/>
  </r>
  <r>
    <s v="واش هاد القطار كايتوقف فبالتيمور؟"/>
    <x v="1"/>
    <x v="5"/>
    <x v="5"/>
    <x v="1"/>
  </r>
  <r>
    <s v="اشتي شاي عدني."/>
    <x v="0"/>
    <x v="1"/>
    <x v="4"/>
    <x v="0"/>
  </r>
  <r>
    <s v="عايزه لي شبشب كويس و كعب عالي عليك الله."/>
    <x v="1"/>
    <x v="0"/>
    <x v="0"/>
    <x v="0"/>
  </r>
  <r>
    <s v="يا حبيبي دزها بس."/>
    <x v="0"/>
    <x v="2"/>
    <x v="6"/>
    <x v="0"/>
  </r>
  <r>
    <s v="اصعد السلم ثم اتجه يميناً . إنه على يسارك ."/>
    <x v="1"/>
    <x v="6"/>
    <x v="1"/>
    <x v="1"/>
  </r>
  <r>
    <s v="فقط إذا كانت ملكك ، سيدي . هاها ، مزحة صغيرة ."/>
    <x v="1"/>
    <x v="6"/>
    <x v="1"/>
    <x v="1"/>
  </r>
  <r>
    <s v="مستحيل الكلام ده يا فندم ."/>
    <x v="1"/>
    <x v="3"/>
    <x v="0"/>
    <x v="0"/>
  </r>
  <r>
    <s v="ماذا عن القمة ؟ هل انقص بعضاً من القمة ؟"/>
    <x v="1"/>
    <x v="6"/>
    <x v="1"/>
    <x v="1"/>
  </r>
  <r>
    <s v="فين مفتاح الطوموبيل؟"/>
    <x v="0"/>
    <x v="4"/>
    <x v="5"/>
    <x v="0"/>
  </r>
  <r>
    <s v="تؤبرني"/>
    <x v="0"/>
    <x v="2"/>
    <x v="2"/>
    <x v="0"/>
  </r>
  <r>
    <s v="أنا أحب أطبخ, إيش تبغى أطبخ لك اليوم؟"/>
    <x v="1"/>
    <x v="4"/>
    <x v="4"/>
    <x v="0"/>
  </r>
  <r>
    <s v="أنا با أريد أسافر في الصيف."/>
    <x v="1"/>
    <x v="2"/>
    <x v="4"/>
    <x v="1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6"/>
    <x v="4"/>
    <x v="0"/>
  </r>
  <r>
    <s v="لو سمحت ألغي رقم البطاقه حقي."/>
    <x v="1"/>
    <x v="6"/>
    <x v="4"/>
    <x v="0"/>
  </r>
  <r>
    <s v="اشتي قهوة."/>
    <x v="0"/>
    <x v="1"/>
    <x v="4"/>
    <x v="0"/>
  </r>
  <r>
    <s v="أنا ما عنديش فلوس بزاف دابا."/>
    <x v="1"/>
    <x v="5"/>
    <x v="5"/>
    <x v="1"/>
  </r>
  <r>
    <s v="هل اكو مطعم قريب هوني؟"/>
    <x v="0"/>
    <x v="4"/>
    <x v="3"/>
    <x v="0"/>
  </r>
  <r>
    <s v="لهيجا البيت كبير كتير. "/>
    <x v="0"/>
    <x v="4"/>
    <x v="2"/>
    <x v="0"/>
  </r>
  <r>
    <s v="وش تبي مني ؟"/>
    <x v="0"/>
    <x v="2"/>
    <x v="6"/>
    <x v="0"/>
  </r>
  <r>
    <s v="هسه شنو تريد تاكل على الغده؟"/>
    <x v="1"/>
    <x v="3"/>
    <x v="3"/>
    <x v="1"/>
  </r>
  <r>
    <s v="خلينا نمشيو نزورو عائلتي اليوم العشية."/>
    <x v="1"/>
    <x v="4"/>
    <x v="5"/>
    <x v="0"/>
  </r>
  <r>
    <s v="عادي تطرشلي الصورة بعدين؟"/>
    <x v="0"/>
    <x v="2"/>
    <x v="6"/>
    <x v="0"/>
  </r>
  <r>
    <s v="ما عندي فلوس هواي هسه."/>
    <x v="0"/>
    <x v="3"/>
    <x v="3"/>
    <x v="1"/>
  </r>
  <r>
    <s v="ممكن تحولي اياهم لدولارات، لو سمحت؟"/>
    <x v="1"/>
    <x v="6"/>
    <x v="2"/>
    <x v="0"/>
  </r>
  <r>
    <s v="علاش أنت زعفان اليوم؟"/>
    <x v="0"/>
    <x v="2"/>
    <x v="5"/>
    <x v="0"/>
  </r>
  <r>
    <s v="اشنو الاختلاف بين هذولي الفنادق؟"/>
    <x v="1"/>
    <x v="1"/>
    <x v="3"/>
    <x v="0"/>
  </r>
  <r>
    <s v="الشي الجنت ادور عليه."/>
    <x v="0"/>
    <x v="0"/>
    <x v="3"/>
    <x v="0"/>
  </r>
  <r>
    <s v="ما بيصير تحكي هالحكي قدام الناس."/>
    <x v="1"/>
    <x v="4"/>
    <x v="2"/>
    <x v="0"/>
  </r>
  <r>
    <s v="يصير ادفع بجيكات سياحية؟"/>
    <x v="0"/>
    <x v="2"/>
    <x v="6"/>
    <x v="0"/>
  </r>
  <r>
    <s v="اي، بعض الغرف تطل على الحديقة، بس وايد غالية."/>
    <x v="1"/>
    <x v="4"/>
    <x v="6"/>
    <x v="1"/>
  </r>
  <r>
    <s v="اريد كتاب تلوين."/>
    <x v="0"/>
    <x v="6"/>
    <x v="3"/>
    <x v="0"/>
  </r>
  <r>
    <s v="ما يمكنش تهضر بهاد الطريقة مع الناس, خاصك تحترمهم."/>
    <x v="1"/>
    <x v="5"/>
    <x v="5"/>
    <x v="1"/>
  </r>
  <r>
    <s v="با أريد شاهي كرك من دبي."/>
    <x v="0"/>
    <x v="2"/>
    <x v="4"/>
    <x v="1"/>
  </r>
  <r>
    <s v="مشكور ما قصرت. انا وسيد كوقوري مستانسين ان جينا لندن عشان نجتمع معاك وانت واحد من أهم شركائنا."/>
    <x v="2"/>
    <x v="6"/>
    <x v="6"/>
    <x v="0"/>
  </r>
  <r>
    <s v="ايوه، كل اللي انت محتاجله شامبو و سيشوار ."/>
    <x v="1"/>
    <x v="4"/>
    <x v="0"/>
    <x v="0"/>
  </r>
  <r>
    <s v="عليك أن تحجز مقدما ."/>
    <x v="0"/>
    <x v="6"/>
    <x v="1"/>
    <x v="1"/>
  </r>
  <r>
    <s v="أنا مرضان.بدي أرتاح."/>
    <x v="0"/>
    <x v="0"/>
    <x v="2"/>
    <x v="1"/>
  </r>
  <r>
    <s v="ماعنديش موعد، بلحاق الحالة مستعجلة."/>
    <x v="1"/>
    <x v="1"/>
    <x v="5"/>
    <x v="0"/>
  </r>
  <r>
    <s v="اكيد، اخذ وقتج."/>
    <x v="0"/>
    <x v="6"/>
    <x v="3"/>
    <x v="0"/>
  </r>
  <r>
    <s v="مسامحة بس في غلط في الفاتورة."/>
    <x v="1"/>
    <x v="6"/>
    <x v="6"/>
    <x v="0"/>
  </r>
  <r>
    <s v="السوق اليوم زحمة، لازم ندحس عشان ندخل."/>
    <x v="1"/>
    <x v="4"/>
    <x v="4"/>
    <x v="0"/>
  </r>
  <r>
    <s v="ناس قليلين اللي هايكونوا في الجولة الاختياري."/>
    <x v="1"/>
    <x v="1"/>
    <x v="0"/>
    <x v="1"/>
  </r>
  <r>
    <s v="اكدر احصلها مشروحة اكثر بالتفاصيل؟"/>
    <x v="1"/>
    <x v="1"/>
    <x v="3"/>
    <x v="0"/>
  </r>
  <r>
    <s v="كلموه بركي يقتنع."/>
    <x v="0"/>
    <x v="5"/>
    <x v="2"/>
    <x v="0"/>
  </r>
  <r>
    <s v="كيف نستخدم هذا ؟"/>
    <x v="0"/>
    <x v="6"/>
    <x v="1"/>
    <x v="1"/>
  </r>
  <r>
    <s v="لك شو مهضوم انته"/>
    <x v="0"/>
    <x v="3"/>
    <x v="2"/>
    <x v="0"/>
  </r>
  <r>
    <s v="حط الشاي هانا، جنب القات."/>
    <x v="0"/>
    <x v="2"/>
    <x v="4"/>
    <x v="1"/>
  </r>
  <r>
    <s v="أبا ألعب بادل."/>
    <x v="0"/>
    <x v="1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4"/>
    <x v="0"/>
    <x v="0"/>
  </r>
  <r>
    <s v="أيمكنني أن أبقى ثلاث ليالٍ ؟"/>
    <x v="1"/>
    <x v="6"/>
    <x v="1"/>
    <x v="1"/>
  </r>
  <r>
    <s v="نعم ، بإمكانك . هون عليك ."/>
    <x v="1"/>
    <x v="6"/>
    <x v="1"/>
    <x v="1"/>
  </r>
  <r>
    <s v="بتقدر تبدل كرسيك معي، لو سمحت؟"/>
    <x v="1"/>
    <x v="7"/>
    <x v="2"/>
    <x v="0"/>
  </r>
  <r>
    <s v="عاوزين أوضة على البحر يسطا."/>
    <x v="1"/>
    <x v="4"/>
    <x v="0"/>
    <x v="0"/>
  </r>
  <r>
    <s v="هاي الغرفة كولش صغيره."/>
    <x v="0"/>
    <x v="0"/>
    <x v="3"/>
    <x v="0"/>
  </r>
  <r>
    <s v="هاد الكتاب مفيد بزاف."/>
    <x v="0"/>
    <x v="5"/>
    <x v="5"/>
    <x v="1"/>
  </r>
  <r>
    <s v="هل يمكنني أن أكل كل حبة الفاكهة هذه ؟"/>
    <x v="1"/>
    <x v="6"/>
    <x v="1"/>
    <x v="1"/>
  </r>
  <r>
    <s v="مافشي أغراض  في البيت. لازم نسير اليمعية."/>
    <x v="1"/>
    <x v="1"/>
    <x v="6"/>
    <x v="0"/>
  </r>
  <r>
    <s v="أتوبيس؟ أفتكر أنت تقصد ليموزين يوصلك الفندق. أنت رايح أنهى فندق؟"/>
    <x v="2"/>
    <x v="4"/>
    <x v="0"/>
    <x v="0"/>
  </r>
  <r>
    <s v="يا شيخ لا تسولف بالله."/>
    <x v="0"/>
    <x v="3"/>
    <x v="6"/>
    <x v="0"/>
  </r>
  <r>
    <s v="أبا مجبوس دياي اليوم."/>
    <x v="0"/>
    <x v="2"/>
    <x v="6"/>
    <x v="0"/>
  </r>
  <r>
    <s v="اكو جمعية قريبة؟"/>
    <x v="0"/>
    <x v="4"/>
    <x v="3"/>
    <x v="0"/>
  </r>
  <r>
    <s v="لا تطلع فيا هيك!"/>
    <x v="0"/>
    <x v="0"/>
    <x v="2"/>
    <x v="1"/>
  </r>
  <r>
    <s v="ما عندي مصاري."/>
    <x v="0"/>
    <x v="3"/>
    <x v="2"/>
    <x v="0"/>
  </r>
  <r>
    <s v="اليهال منتظرينك برع."/>
    <x v="0"/>
    <x v="2"/>
    <x v="6"/>
    <x v="0"/>
  </r>
  <r>
    <s v="لا تقول هالكلام جدامي."/>
    <x v="0"/>
    <x v="0"/>
    <x v="6"/>
    <x v="0"/>
  </r>
  <r>
    <s v="كلا . إني ياباني ."/>
    <x v="0"/>
    <x v="6"/>
    <x v="1"/>
    <x v="1"/>
  </r>
  <r>
    <s v="ما أشرب قهوة أني يا الغالي."/>
    <x v="1"/>
    <x v="2"/>
    <x v="3"/>
    <x v="0"/>
  </r>
  <r>
    <s v="هل هذا هو كل شيء متضمن في الفاتورة ؟"/>
    <x v="1"/>
    <x v="6"/>
    <x v="1"/>
    <x v="1"/>
  </r>
  <r>
    <s v="تركت شنطتي بشي مطرح."/>
    <x v="0"/>
    <x v="1"/>
    <x v="2"/>
    <x v="0"/>
  </r>
  <r>
    <s v="طوالي عليك الله."/>
    <x v="0"/>
    <x v="3"/>
    <x v="0"/>
    <x v="0"/>
  </r>
  <r>
    <s v="اشتي العب تنس."/>
    <x v="0"/>
    <x v="4"/>
    <x v="4"/>
    <x v="0"/>
  </r>
  <r>
    <s v="زين. هسه حجزك تاكد."/>
    <x v="0"/>
    <x v="4"/>
    <x v="3"/>
    <x v="0"/>
  </r>
  <r>
    <s v="في واحد خبط فيا. وبعديها ملقتش محفظتي."/>
    <x v="1"/>
    <x v="1"/>
    <x v="0"/>
    <x v="1"/>
  </r>
  <r>
    <s v="بغيت شاهي مع ليمون، لو سمحت."/>
    <x v="1"/>
    <x v="0"/>
    <x v="6"/>
    <x v="0"/>
  </r>
  <r>
    <s v="من فضلك غادر الفندق قبل التاسعة ."/>
    <x v="1"/>
    <x v="6"/>
    <x v="1"/>
    <x v="1"/>
  </r>
  <r>
    <s v="عمبتسأل  شو هيدا الي على فاتورتي ."/>
    <x v="1"/>
    <x v="1"/>
    <x v="2"/>
    <x v="0"/>
  </r>
  <r>
    <s v=" لازم نوفر باستهلاك الكهرباء والماي حتى نحافظ على البيئة ونكون مسؤولين تجاه الأجيال الجاية."/>
    <x v="2"/>
    <x v="6"/>
    <x v="3"/>
    <x v="0"/>
  </r>
  <r>
    <s v="ضيعت باسبوري، نحب واحد جديد."/>
    <x v="1"/>
    <x v="2"/>
    <x v="5"/>
    <x v="0"/>
  </r>
  <r>
    <s v="اشعر بالتعب الشديد . من فضلك استدع طبيباً ."/>
    <x v="1"/>
    <x v="6"/>
    <x v="1"/>
    <x v="1"/>
  </r>
  <r>
    <s v="نعم، سيد تانكا. اكو رسالتين الك."/>
    <x v="1"/>
    <x v="2"/>
    <x v="3"/>
    <x v="0"/>
  </r>
  <r>
    <s v="بأثر شي اذا دقيتلك بعدين؟"/>
    <x v="0"/>
    <x v="2"/>
    <x v="2"/>
    <x v="0"/>
  </r>
  <r>
    <s v="ممكن ترسل تاكسي للمدخل الرئيسي حق ويستمينستر مول؟"/>
    <x v="1"/>
    <x v="4"/>
    <x v="4"/>
    <x v="0"/>
  </r>
  <r>
    <s v="شكرا يبن عمي عل الخدمة."/>
    <x v="0"/>
    <x v="4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3"/>
    <x v="2"/>
    <x v="0"/>
  </r>
  <r>
    <s v="عايز الهدوم دي تتكوى."/>
    <x v="0"/>
    <x v="0"/>
    <x v="0"/>
    <x v="0"/>
  </r>
  <r>
    <s v="اليوم عندنا تخزينة قوية مع الشباب."/>
    <x v="1"/>
    <x v="4"/>
    <x v="4"/>
    <x v="0"/>
  </r>
  <r>
    <s v="كم من الوقت يبغاله من هنا إلى سيتي هول؟"/>
    <x v="1"/>
    <x v="4"/>
    <x v="6"/>
    <x v="1"/>
  </r>
  <r>
    <s v="ما شعورك ؟ لقد صنعت في سويسرا وهي موضة هنا ."/>
    <x v="1"/>
    <x v="6"/>
    <x v="1"/>
    <x v="1"/>
  </r>
  <r>
    <s v="يا رجال، شمسك حاميا؟"/>
    <x v="0"/>
    <x v="4"/>
    <x v="4"/>
    <x v="0"/>
  </r>
  <r>
    <s v="عندج بيزات؟"/>
    <x v="0"/>
    <x v="2"/>
    <x v="6"/>
    <x v="0"/>
  </r>
  <r>
    <s v="السيارة دقمت الجدار."/>
    <x v="0"/>
    <x v="1"/>
    <x v="4"/>
    <x v="0"/>
  </r>
  <r>
    <s v="تروم تصلحه؟"/>
    <x v="0"/>
    <x v="0"/>
    <x v="6"/>
    <x v="0"/>
  </r>
  <r>
    <s v="أه، أنا عاوز أشوف المعالم السياحية للمدينة."/>
    <x v="1"/>
    <x v="6"/>
    <x v="0"/>
    <x v="0"/>
  </r>
  <r>
    <s v="ده غالي شديد ياخ."/>
    <x v="0"/>
    <x v="3"/>
    <x v="0"/>
    <x v="0"/>
  </r>
  <r>
    <s v="اكو اي ليموزين؟"/>
    <x v="0"/>
    <x v="4"/>
    <x v="3"/>
    <x v="0"/>
  </r>
  <r>
    <s v="ابغى قهوة لو سمحت."/>
    <x v="0"/>
    <x v="6"/>
    <x v="6"/>
    <x v="0"/>
  </r>
  <r>
    <s v=" إنها كذلك بالفعل."/>
    <x v="0"/>
    <x v="6"/>
    <x v="1"/>
    <x v="1"/>
  </r>
  <r>
    <s v="انت جعان يصحبي؟"/>
    <x v="0"/>
    <x v="2"/>
    <x v="0"/>
    <x v="0"/>
  </r>
  <r>
    <s v="لا أريد شيئاً آخر ."/>
    <x v="0"/>
    <x v="6"/>
    <x v="1"/>
    <x v="1"/>
  </r>
  <r>
    <s v="أنا متأسف أما لوتيل معبي."/>
    <x v="0"/>
    <x v="6"/>
    <x v="5"/>
    <x v="0"/>
  </r>
  <r>
    <s v="من زمان عنك, وين جنت؟"/>
    <x v="0"/>
    <x v="2"/>
    <x v="3"/>
    <x v="0"/>
  </r>
  <r>
    <s v="إتجه إلى الامام"/>
    <x v="0"/>
    <x v="6"/>
    <x v="1"/>
    <x v="1"/>
  </r>
  <r>
    <s v="ما يمكنش تقول هاد الهضرة قدام الناس."/>
    <x v="1"/>
    <x v="5"/>
    <x v="5"/>
    <x v="1"/>
  </r>
  <r>
    <s v="علي أن أقول وداعاً ."/>
    <x v="0"/>
    <x v="6"/>
    <x v="1"/>
    <x v="1"/>
  </r>
  <r>
    <s v="أنا كنت كانفكر نمشي نلعب كورة."/>
    <x v="1"/>
    <x v="0"/>
    <x v="5"/>
    <x v="0"/>
  </r>
  <r>
    <s v="دير بالك، السقف قصير."/>
    <x v="0"/>
    <x v="0"/>
    <x v="2"/>
    <x v="1"/>
  </r>
  <r>
    <s v="موتري تعطل، تعال خده لو ما عليك امر."/>
    <x v="1"/>
    <x v="3"/>
    <x v="6"/>
    <x v="0"/>
  </r>
  <r>
    <s v="علاش غالي برشة البوكسار هذا؟"/>
    <x v="1"/>
    <x v="5"/>
    <x v="5"/>
    <x v="1"/>
  </r>
  <r>
    <s v="لنذهب مرة أخرى ."/>
    <x v="0"/>
    <x v="4"/>
    <x v="1"/>
    <x v="0"/>
  </r>
  <r>
    <s v="أبا كوفي طال عمرك ."/>
    <x v="0"/>
    <x v="2"/>
    <x v="6"/>
    <x v="0"/>
  </r>
  <r>
    <s v="داير امشي الدكان."/>
    <x v="0"/>
    <x v="0"/>
    <x v="0"/>
    <x v="0"/>
  </r>
  <r>
    <s v="هرب بسرعة لما شاف الحنشان."/>
    <x v="1"/>
    <x v="4"/>
    <x v="4"/>
    <x v="0"/>
  </r>
  <r>
    <s v="جا عبالي شيش برك."/>
    <x v="0"/>
    <x v="2"/>
    <x v="2"/>
    <x v="0"/>
  </r>
  <r>
    <s v="انا مستني حضرتك من ساعات في المكتب."/>
    <x v="1"/>
    <x v="3"/>
    <x v="0"/>
    <x v="0"/>
  </r>
  <r>
    <s v="برشا تعبان اليوم."/>
    <x v="0"/>
    <x v="3"/>
    <x v="5"/>
    <x v="0"/>
  </r>
  <r>
    <s v="لكن التكلفة تزداد , أليس كذلك ؟"/>
    <x v="1"/>
    <x v="6"/>
    <x v="1"/>
    <x v="1"/>
  </r>
  <r>
    <s v="حالة الجو متقلبة . من فضلكم اربطوا أحزمة مقاعدكم ."/>
    <x v="1"/>
    <x v="6"/>
    <x v="1"/>
    <x v="1"/>
  </r>
  <r>
    <s v="مخيرا. الله يحفداك."/>
    <x v="0"/>
    <x v="2"/>
    <x v="5"/>
    <x v="0"/>
  </r>
  <r>
    <s v="دخل معهم بالعقل، مش بالصميل."/>
    <x v="1"/>
    <x v="1"/>
    <x v="4"/>
    <x v="0"/>
  </r>
  <r>
    <s v="هل يمكن أن تعطيني الشوكة من فضلك ."/>
    <x v="1"/>
    <x v="6"/>
    <x v="1"/>
    <x v="1"/>
  </r>
  <r>
    <s v="ما هو الأفضل ؟"/>
    <x v="0"/>
    <x v="0"/>
    <x v="1"/>
    <x v="0"/>
  </r>
  <r>
    <s v="عقّ علينا يا رجال، تأخرنا."/>
    <x v="1"/>
    <x v="4"/>
    <x v="4"/>
    <x v="0"/>
  </r>
  <r>
    <s v="هذا الولد طاهش، ما يسمع كلام أحد."/>
    <x v="1"/>
    <x v="2"/>
    <x v="4"/>
    <x v="1"/>
  </r>
  <r>
    <s v="اني حتي مشي ما امشي"/>
    <x v="0"/>
    <x v="3"/>
    <x v="3"/>
    <x v="1"/>
  </r>
  <r>
    <s v="داير أرسله بالبريد البري."/>
    <x v="0"/>
    <x v="2"/>
    <x v="0"/>
    <x v="0"/>
  </r>
  <r>
    <s v="رجاءا اكتب عنوانك هوني."/>
    <x v="0"/>
    <x v="6"/>
    <x v="3"/>
    <x v="0"/>
  </r>
  <r>
    <s v="علاش ما ساليتيش واجباتك المدرسية لحد الآن؟"/>
    <x v="1"/>
    <x v="5"/>
    <x v="5"/>
    <x v="1"/>
  </r>
  <r>
    <s v="اصك تساليهم قبل ما نخرجوا باش ما تعطلش على اللعب مع صحابك."/>
    <x v="2"/>
    <x v="2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4"/>
    <x v="5"/>
    <x v="0"/>
  </r>
  <r>
    <s v="هالإيام عم ينتشر كتير حالات رشح."/>
    <x v="1"/>
    <x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I11" firstHeaderRow="1" firstDataRow="2" firstDataCol="1"/>
  <pivotFields count="5">
    <pivotField dataField="1" showAll="0"/>
    <pivotField showAll="0"/>
    <pivotField axis="axisCol" showAll="0">
      <items count="10">
        <item x="4"/>
        <item x="3"/>
        <item x="0"/>
        <item x="6"/>
        <item x="5"/>
        <item x="1"/>
        <item x="2"/>
        <item m="1" x="8"/>
        <item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8"/>
    </i>
  </colItems>
  <dataFields count="1">
    <dataField name="Count of Sentence" fld="0" subtotal="count" baseField="0" baseItem="0"/>
  </dataFields>
  <chartFormats count="24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I11" firstHeaderRow="1" firstDataRow="2" firstDataCol="1"/>
  <pivotFields count="5">
    <pivotField dataField="1" showAll="0"/>
    <pivotField showAll="0"/>
    <pivotField axis="axisCol" showAll="0">
      <items count="10">
        <item x="0"/>
        <item x="1"/>
        <item x="6"/>
        <item x="2"/>
        <item x="7"/>
        <item x="3"/>
        <item x="5"/>
        <item m="1" x="8"/>
        <item x="4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8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5">
        <item m="1" x="2"/>
        <item m="1" x="3"/>
        <item x="1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 v="2"/>
    </i>
    <i>
      <x v="3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I11" firstHeaderRow="1" firstDataRow="2" firstDataCol="1"/>
  <pivotFields count="5">
    <pivotField dataField="1" showAll="0"/>
    <pivotField showAll="0"/>
    <pivotField axis="axisCol" showAll="0">
      <items count="10">
        <item x="1"/>
        <item x="4"/>
        <item x="5"/>
        <item x="6"/>
        <item x="0"/>
        <item x="3"/>
        <item x="2"/>
        <item m="1" x="8"/>
        <item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8"/>
    </i>
  </colItems>
  <dataFields count="1">
    <dataField name="Count of Sentence" fld="0" subtotal="count" baseField="0" baseItem="0"/>
  </dataFields>
  <chartFormats count="9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I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2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4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9" x14ac:dyDescent="0.3">
      <c r="A3" s="14" t="s">
        <v>255</v>
      </c>
      <c r="B3" s="14" t="s">
        <v>253</v>
      </c>
    </row>
    <row r="4" spans="1:9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  <c r="I4" s="18" t="s">
        <v>511</v>
      </c>
    </row>
    <row r="5" spans="1:9" x14ac:dyDescent="0.3">
      <c r="A5" s="15" t="s">
        <v>77</v>
      </c>
      <c r="B5" s="16">
        <v>4</v>
      </c>
      <c r="C5" s="16">
        <v>4</v>
      </c>
      <c r="D5" s="16">
        <v>6</v>
      </c>
      <c r="E5" s="16">
        <v>5</v>
      </c>
      <c r="F5" s="16"/>
      <c r="G5" s="16">
        <v>2</v>
      </c>
      <c r="H5" s="16">
        <v>9</v>
      </c>
      <c r="I5" s="16"/>
    </row>
    <row r="6" spans="1:9" x14ac:dyDescent="0.3">
      <c r="A6" s="15" t="s">
        <v>80</v>
      </c>
      <c r="B6" s="16">
        <v>7</v>
      </c>
      <c r="C6" s="16">
        <v>5</v>
      </c>
      <c r="D6" s="16">
        <v>6</v>
      </c>
      <c r="E6" s="16">
        <v>5</v>
      </c>
      <c r="F6" s="16"/>
      <c r="G6" s="16">
        <v>2</v>
      </c>
      <c r="H6" s="16">
        <v>5</v>
      </c>
      <c r="I6" s="16"/>
    </row>
    <row r="7" spans="1:9" x14ac:dyDescent="0.3">
      <c r="A7" s="15" t="s">
        <v>79</v>
      </c>
      <c r="B7" s="16">
        <v>5</v>
      </c>
      <c r="C7" s="16">
        <v>3</v>
      </c>
      <c r="D7" s="16">
        <v>11</v>
      </c>
      <c r="E7" s="16">
        <v>1</v>
      </c>
      <c r="F7" s="16">
        <v>1</v>
      </c>
      <c r="G7" s="16">
        <v>2</v>
      </c>
      <c r="H7" s="16">
        <v>6</v>
      </c>
      <c r="I7" s="16">
        <v>1</v>
      </c>
    </row>
    <row r="8" spans="1:9" x14ac:dyDescent="0.3">
      <c r="A8" s="15" t="s">
        <v>76</v>
      </c>
      <c r="B8" s="16">
        <v>1</v>
      </c>
      <c r="C8" s="16"/>
      <c r="D8" s="16">
        <v>1</v>
      </c>
      <c r="E8" s="16">
        <v>27</v>
      </c>
      <c r="F8" s="16"/>
      <c r="G8" s="16">
        <v>1</v>
      </c>
      <c r="H8" s="16"/>
      <c r="I8" s="16"/>
    </row>
    <row r="9" spans="1:9" x14ac:dyDescent="0.3">
      <c r="A9" s="15" t="s">
        <v>252</v>
      </c>
      <c r="B9" s="16">
        <v>4</v>
      </c>
      <c r="C9" s="16">
        <v>1</v>
      </c>
      <c r="D9" s="16">
        <v>3</v>
      </c>
      <c r="E9" s="16">
        <v>2</v>
      </c>
      <c r="F9" s="16">
        <v>10</v>
      </c>
      <c r="G9" s="16">
        <v>4</v>
      </c>
      <c r="H9" s="16">
        <v>6</v>
      </c>
      <c r="I9" s="16"/>
    </row>
    <row r="10" spans="1:9" x14ac:dyDescent="0.3">
      <c r="A10" s="15" t="s">
        <v>81</v>
      </c>
      <c r="B10" s="16">
        <v>5</v>
      </c>
      <c r="C10" s="16">
        <v>6</v>
      </c>
      <c r="D10" s="16">
        <v>6</v>
      </c>
      <c r="E10" s="16">
        <v>3</v>
      </c>
      <c r="F10" s="16"/>
      <c r="G10" s="16">
        <v>6</v>
      </c>
      <c r="H10" s="16">
        <v>3</v>
      </c>
      <c r="I10" s="16">
        <v>1</v>
      </c>
    </row>
    <row r="11" spans="1:9" x14ac:dyDescent="0.3">
      <c r="A11" s="15" t="s">
        <v>82</v>
      </c>
      <c r="B11" s="16">
        <v>13</v>
      </c>
      <c r="C11" s="16">
        <v>3</v>
      </c>
      <c r="D11" s="16"/>
      <c r="E11" s="16">
        <v>3</v>
      </c>
      <c r="F11" s="16"/>
      <c r="G11" s="16">
        <v>4</v>
      </c>
      <c r="H11" s="16">
        <v>7</v>
      </c>
      <c r="I11" s="16"/>
    </row>
    <row r="13" spans="1:9" x14ac:dyDescent="0.3">
      <c r="A13" s="14" t="s">
        <v>255</v>
      </c>
      <c r="B13" s="14" t="s">
        <v>253</v>
      </c>
    </row>
    <row r="14" spans="1:9" x14ac:dyDescent="0.3">
      <c r="A14" s="14" t="s">
        <v>254</v>
      </c>
      <c r="B14" s="18" t="s">
        <v>261</v>
      </c>
      <c r="C14" s="18" t="s">
        <v>512</v>
      </c>
    </row>
    <row r="15" spans="1:9" x14ac:dyDescent="0.3">
      <c r="A15" s="15" t="s">
        <v>256</v>
      </c>
      <c r="B15" s="16">
        <v>16</v>
      </c>
      <c r="C15" s="16">
        <v>2</v>
      </c>
    </row>
    <row r="16" spans="1:9" x14ac:dyDescent="0.3">
      <c r="A16" s="15" t="s">
        <v>257</v>
      </c>
      <c r="B16" s="16">
        <v>54</v>
      </c>
      <c r="C16" s="16">
        <v>42</v>
      </c>
    </row>
    <row r="17" spans="1:3" x14ac:dyDescent="0.3">
      <c r="A17" s="15" t="s">
        <v>258</v>
      </c>
      <c r="B17" s="16">
        <v>70</v>
      </c>
      <c r="C17" s="16">
        <v>26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I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4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9" x14ac:dyDescent="0.3">
      <c r="A3" s="14" t="s">
        <v>255</v>
      </c>
      <c r="B3" s="14" t="s">
        <v>253</v>
      </c>
    </row>
    <row r="4" spans="1:9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  <c r="I4" s="18" t="s">
        <v>511</v>
      </c>
    </row>
    <row r="5" spans="1:9" x14ac:dyDescent="0.3">
      <c r="A5" s="15" t="s">
        <v>77</v>
      </c>
      <c r="B5" s="16">
        <v>6</v>
      </c>
      <c r="C5" s="16"/>
      <c r="D5" s="16">
        <v>2</v>
      </c>
      <c r="E5" s="16">
        <v>4</v>
      </c>
      <c r="F5" s="16">
        <v>1</v>
      </c>
      <c r="G5" s="16"/>
      <c r="H5" s="16">
        <v>6</v>
      </c>
      <c r="I5" s="16">
        <v>1</v>
      </c>
    </row>
    <row r="6" spans="1:9" x14ac:dyDescent="0.3">
      <c r="A6" s="15" t="s">
        <v>80</v>
      </c>
      <c r="B6" s="16">
        <v>3</v>
      </c>
      <c r="C6" s="16">
        <v>3</v>
      </c>
      <c r="D6" s="16">
        <v>2</v>
      </c>
      <c r="E6" s="16">
        <v>3</v>
      </c>
      <c r="F6" s="16">
        <v>2</v>
      </c>
      <c r="G6" s="16">
        <v>1</v>
      </c>
      <c r="H6" s="16">
        <v>6</v>
      </c>
      <c r="I6" s="16"/>
    </row>
    <row r="7" spans="1:9" x14ac:dyDescent="0.3">
      <c r="A7" s="15" t="s">
        <v>79</v>
      </c>
      <c r="B7" s="16">
        <v>2</v>
      </c>
      <c r="C7" s="16">
        <v>2</v>
      </c>
      <c r="D7" s="16">
        <v>4</v>
      </c>
      <c r="E7" s="16">
        <v>4</v>
      </c>
      <c r="F7" s="16">
        <v>1</v>
      </c>
      <c r="G7" s="16">
        <v>3</v>
      </c>
      <c r="H7" s="16">
        <v>4</v>
      </c>
      <c r="I7" s="16"/>
    </row>
    <row r="8" spans="1:9" x14ac:dyDescent="0.3">
      <c r="A8" s="15" t="s">
        <v>76</v>
      </c>
      <c r="B8" s="16"/>
      <c r="C8" s="16"/>
      <c r="D8" s="16">
        <v>3</v>
      </c>
      <c r="E8" s="16">
        <v>15</v>
      </c>
      <c r="F8" s="16">
        <v>1</v>
      </c>
      <c r="G8" s="16">
        <v>1</v>
      </c>
      <c r="H8" s="16"/>
      <c r="I8" s="16"/>
    </row>
    <row r="9" spans="1:9" x14ac:dyDescent="0.3">
      <c r="A9" s="15" t="s">
        <v>252</v>
      </c>
      <c r="B9" s="16">
        <v>2</v>
      </c>
      <c r="C9" s="16"/>
      <c r="D9" s="16">
        <v>7</v>
      </c>
      <c r="E9" s="16">
        <v>1</v>
      </c>
      <c r="F9" s="16">
        <v>6</v>
      </c>
      <c r="G9" s="16">
        <v>2</v>
      </c>
      <c r="H9" s="16">
        <v>2</v>
      </c>
      <c r="I9" s="16"/>
    </row>
    <row r="10" spans="1:9" x14ac:dyDescent="0.3">
      <c r="A10" s="15" t="s">
        <v>81</v>
      </c>
      <c r="B10" s="16">
        <v>3</v>
      </c>
      <c r="C10" s="16">
        <v>3</v>
      </c>
      <c r="D10" s="16">
        <v>1</v>
      </c>
      <c r="E10" s="16">
        <v>3</v>
      </c>
      <c r="F10" s="16">
        <v>1</v>
      </c>
      <c r="G10" s="16">
        <v>6</v>
      </c>
      <c r="H10" s="16">
        <v>3</v>
      </c>
      <c r="I10" s="16"/>
    </row>
    <row r="11" spans="1:9" x14ac:dyDescent="0.3">
      <c r="A11" s="15" t="s">
        <v>82</v>
      </c>
      <c r="B11" s="16">
        <v>8</v>
      </c>
      <c r="C11" s="16">
        <v>3</v>
      </c>
      <c r="D11" s="16">
        <v>3</v>
      </c>
      <c r="E11" s="16">
        <v>3</v>
      </c>
      <c r="F11" s="16"/>
      <c r="G11" s="16">
        <v>2</v>
      </c>
      <c r="H11" s="16">
        <v>1</v>
      </c>
      <c r="I11" s="16"/>
    </row>
    <row r="13" spans="1:9" x14ac:dyDescent="0.3">
      <c r="A13" s="14" t="s">
        <v>255</v>
      </c>
      <c r="B13" s="14" t="s">
        <v>253</v>
      </c>
    </row>
    <row r="14" spans="1:9" x14ac:dyDescent="0.3">
      <c r="A14" s="14" t="s">
        <v>254</v>
      </c>
      <c r="B14" s="18" t="s">
        <v>261</v>
      </c>
      <c r="C14" s="18" t="s">
        <v>512</v>
      </c>
    </row>
    <row r="15" spans="1:9" x14ac:dyDescent="0.3">
      <c r="A15" s="15" t="s">
        <v>256</v>
      </c>
      <c r="B15" s="16">
        <v>20</v>
      </c>
      <c r="C15" s="16">
        <v>3</v>
      </c>
    </row>
    <row r="16" spans="1:9" x14ac:dyDescent="0.3">
      <c r="A16" s="15" t="s">
        <v>257</v>
      </c>
      <c r="B16" s="16">
        <v>33</v>
      </c>
      <c r="C16" s="16">
        <v>18</v>
      </c>
    </row>
    <row r="17" spans="1:3" x14ac:dyDescent="0.3">
      <c r="A17" s="15" t="s">
        <v>258</v>
      </c>
      <c r="B17" s="16">
        <v>46</v>
      </c>
      <c r="C17" s="16">
        <v>20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I17"/>
  <sheetViews>
    <sheetView zoomScale="92" workbookViewId="0">
      <selection activeCell="A3" sqref="A3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4.10937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9" x14ac:dyDescent="0.3">
      <c r="A3" s="14" t="s">
        <v>255</v>
      </c>
      <c r="B3" s="14" t="s">
        <v>253</v>
      </c>
    </row>
    <row r="4" spans="1:9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  <c r="I4" s="18" t="s">
        <v>511</v>
      </c>
    </row>
    <row r="5" spans="1:9" x14ac:dyDescent="0.3">
      <c r="A5" s="15" t="s">
        <v>77</v>
      </c>
      <c r="B5" s="16">
        <v>4</v>
      </c>
      <c r="C5" s="16">
        <v>1</v>
      </c>
      <c r="D5" s="16"/>
      <c r="E5" s="16">
        <v>2</v>
      </c>
      <c r="F5" s="16"/>
      <c r="G5" s="16"/>
      <c r="H5" s="16">
        <v>3</v>
      </c>
      <c r="I5" s="16"/>
    </row>
    <row r="6" spans="1:9" x14ac:dyDescent="0.3">
      <c r="A6" s="15" t="s">
        <v>80</v>
      </c>
      <c r="B6" s="16">
        <v>3</v>
      </c>
      <c r="C6" s="16">
        <v>2</v>
      </c>
      <c r="D6" s="16">
        <v>1</v>
      </c>
      <c r="E6" s="16">
        <v>1</v>
      </c>
      <c r="F6" s="16"/>
      <c r="G6" s="16">
        <v>1</v>
      </c>
      <c r="H6" s="16">
        <v>2</v>
      </c>
      <c r="I6" s="16"/>
    </row>
    <row r="7" spans="1:9" x14ac:dyDescent="0.3">
      <c r="A7" s="15" t="s">
        <v>79</v>
      </c>
      <c r="B7" s="16">
        <v>2</v>
      </c>
      <c r="C7" s="16"/>
      <c r="D7" s="16">
        <v>3</v>
      </c>
      <c r="E7" s="16">
        <v>1</v>
      </c>
      <c r="F7" s="16"/>
      <c r="G7" s="16">
        <v>1</v>
      </c>
      <c r="H7" s="16">
        <v>3</v>
      </c>
      <c r="I7" s="16"/>
    </row>
    <row r="8" spans="1:9" x14ac:dyDescent="0.3">
      <c r="A8" s="15" t="s">
        <v>76</v>
      </c>
      <c r="B8" s="16"/>
      <c r="C8" s="16"/>
      <c r="D8" s="16"/>
      <c r="E8" s="16">
        <v>9</v>
      </c>
      <c r="F8" s="16"/>
      <c r="G8" s="16"/>
      <c r="H8" s="16">
        <v>1</v>
      </c>
      <c r="I8" s="16"/>
    </row>
    <row r="9" spans="1:9" x14ac:dyDescent="0.3">
      <c r="A9" s="15" t="s">
        <v>252</v>
      </c>
      <c r="B9" s="16">
        <v>1</v>
      </c>
      <c r="C9" s="16"/>
      <c r="D9" s="16">
        <v>2</v>
      </c>
      <c r="E9" s="16"/>
      <c r="F9" s="16">
        <v>7</v>
      </c>
      <c r="G9" s="16"/>
      <c r="H9" s="16"/>
      <c r="I9" s="16"/>
    </row>
    <row r="10" spans="1:9" x14ac:dyDescent="0.3">
      <c r="A10" s="15" t="s">
        <v>81</v>
      </c>
      <c r="B10" s="16"/>
      <c r="C10" s="16">
        <v>2</v>
      </c>
      <c r="D10" s="16">
        <v>1</v>
      </c>
      <c r="E10" s="16">
        <v>2</v>
      </c>
      <c r="F10" s="16"/>
      <c r="G10" s="16">
        <v>4</v>
      </c>
      <c r="H10" s="16"/>
      <c r="I10" s="16">
        <v>1</v>
      </c>
    </row>
    <row r="11" spans="1:9" x14ac:dyDescent="0.3">
      <c r="A11" s="15" t="s">
        <v>82</v>
      </c>
      <c r="B11" s="16">
        <v>2</v>
      </c>
      <c r="C11" s="16">
        <v>1</v>
      </c>
      <c r="D11" s="16"/>
      <c r="E11" s="16">
        <v>1</v>
      </c>
      <c r="F11" s="16"/>
      <c r="G11" s="16">
        <v>1</v>
      </c>
      <c r="H11" s="16">
        <v>5</v>
      </c>
      <c r="I11" s="16"/>
    </row>
    <row r="13" spans="1:9" x14ac:dyDescent="0.3">
      <c r="A13" s="14" t="s">
        <v>255</v>
      </c>
      <c r="B13" s="14" t="s">
        <v>253</v>
      </c>
    </row>
    <row r="14" spans="1:9" x14ac:dyDescent="0.3">
      <c r="A14" s="14" t="s">
        <v>254</v>
      </c>
      <c r="B14" s="18" t="s">
        <v>261</v>
      </c>
      <c r="C14" s="18" t="s">
        <v>512</v>
      </c>
    </row>
    <row r="15" spans="1:9" x14ac:dyDescent="0.3">
      <c r="A15" s="15" t="s">
        <v>256</v>
      </c>
      <c r="B15" s="16">
        <v>7</v>
      </c>
      <c r="C15" s="16">
        <v>8</v>
      </c>
    </row>
    <row r="16" spans="1:9" x14ac:dyDescent="0.3">
      <c r="A16" s="15" t="s">
        <v>257</v>
      </c>
      <c r="B16" s="16">
        <v>10</v>
      </c>
      <c r="C16" s="16">
        <v>11</v>
      </c>
    </row>
    <row r="17" spans="1:3" x14ac:dyDescent="0.3">
      <c r="A17" s="15" t="s">
        <v>258</v>
      </c>
      <c r="B17" s="16">
        <v>19</v>
      </c>
      <c r="C17" s="16">
        <v>15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D1" zoomScale="87" workbookViewId="0">
      <selection activeCell="J2" sqref="J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ht="15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D2" s="21" t="s">
        <v>252</v>
      </c>
      <c r="E2" s="17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34</v>
      </c>
      <c r="J2" s="4">
        <f>(I2/H2)</f>
        <v>0.48571428571428571</v>
      </c>
    </row>
    <row r="3" spans="1:12" ht="15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D3" s="21" t="s">
        <v>77</v>
      </c>
      <c r="E3" s="17" t="s">
        <v>80</v>
      </c>
      <c r="F3" s="13" t="b">
        <f t="shared" ref="F3:F66" si="0">IF(D3=E3, TRUE, FALSE)</f>
        <v>0</v>
      </c>
      <c r="L3" s="5"/>
    </row>
    <row r="4" spans="1:12" ht="15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D4" s="21" t="s">
        <v>82</v>
      </c>
      <c r="E4" s="17" t="s">
        <v>82</v>
      </c>
      <c r="F4" s="13" t="b">
        <f t="shared" si="0"/>
        <v>1</v>
      </c>
      <c r="H4" s="19" t="s">
        <v>237</v>
      </c>
      <c r="I4" s="19"/>
      <c r="J4" s="19"/>
      <c r="K4" s="19"/>
    </row>
    <row r="5" spans="1:12" ht="15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D5" s="21" t="s">
        <v>81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ht="15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D6" s="21" t="s">
        <v>80</v>
      </c>
      <c r="E6" s="17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7</v>
      </c>
      <c r="K6" s="3">
        <f>J6/I6</f>
        <v>0.7</v>
      </c>
    </row>
    <row r="7" spans="1:12" ht="15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21" t="s">
        <v>79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4</v>
      </c>
      <c r="K7" s="3">
        <f t="shared" ref="K7:K12" si="3">J7/I7</f>
        <v>0.4</v>
      </c>
    </row>
    <row r="8" spans="1:12" ht="15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D8" s="21" t="s">
        <v>76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3</v>
      </c>
      <c r="K8" s="3">
        <f t="shared" si="3"/>
        <v>0.3</v>
      </c>
    </row>
    <row r="9" spans="1:12" ht="15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21" t="s">
        <v>82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4</v>
      </c>
      <c r="K9" s="3">
        <f t="shared" si="3"/>
        <v>0.4</v>
      </c>
    </row>
    <row r="10" spans="1:12" ht="15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21" t="s">
        <v>80</v>
      </c>
      <c r="E10" s="17" t="s">
        <v>80</v>
      </c>
      <c r="F10" s="13" t="b">
        <f t="shared" si="0"/>
        <v>1</v>
      </c>
      <c r="H10" s="1" t="s">
        <v>82</v>
      </c>
      <c r="I10" s="1">
        <f t="shared" si="1"/>
        <v>10</v>
      </c>
      <c r="J10" s="1">
        <f t="shared" si="2"/>
        <v>5</v>
      </c>
      <c r="K10" s="3">
        <f t="shared" si="3"/>
        <v>0.5</v>
      </c>
    </row>
    <row r="11" spans="1:12" ht="15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21" t="s">
        <v>77</v>
      </c>
      <c r="E11" s="17" t="s">
        <v>77</v>
      </c>
      <c r="F11" s="13" t="b">
        <f t="shared" si="0"/>
        <v>1</v>
      </c>
      <c r="H11" s="1" t="s">
        <v>80</v>
      </c>
      <c r="I11" s="1">
        <f t="shared" si="1"/>
        <v>10</v>
      </c>
      <c r="J11" s="1">
        <f t="shared" si="2"/>
        <v>2</v>
      </c>
      <c r="K11" s="3">
        <f t="shared" si="3"/>
        <v>0.2</v>
      </c>
    </row>
    <row r="12" spans="1:12" ht="15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21" t="s">
        <v>76</v>
      </c>
      <c r="E12" s="17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9</v>
      </c>
      <c r="K12" s="3">
        <f t="shared" si="3"/>
        <v>0.9</v>
      </c>
    </row>
    <row r="13" spans="1:12" ht="15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21" t="s">
        <v>76</v>
      </c>
      <c r="E13" s="17" t="s">
        <v>76</v>
      </c>
      <c r="F13" s="13" t="b">
        <f t="shared" si="0"/>
        <v>1</v>
      </c>
    </row>
    <row r="14" spans="1:12" ht="15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21" t="s">
        <v>77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ht="15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21" t="s">
        <v>76</v>
      </c>
      <c r="E15" s="17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15</v>
      </c>
      <c r="K15" s="4">
        <f>J15/I15</f>
        <v>0.44117647058823528</v>
      </c>
    </row>
    <row r="16" spans="1:12" ht="15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21" t="s">
        <v>79</v>
      </c>
      <c r="E16" s="17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11</v>
      </c>
      <c r="K16" s="4">
        <f t="shared" ref="K16:K17" si="4">J16/I16</f>
        <v>0.52380952380952384</v>
      </c>
    </row>
    <row r="17" spans="1:11" ht="15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21" t="s">
        <v>82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8</v>
      </c>
      <c r="K17" s="4">
        <f t="shared" si="4"/>
        <v>0.53333333333333333</v>
      </c>
    </row>
    <row r="18" spans="1:11" ht="15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21" t="s">
        <v>77</v>
      </c>
      <c r="E18" s="17" t="s">
        <v>79</v>
      </c>
      <c r="F18" s="13" t="b">
        <f t="shared" si="0"/>
        <v>0</v>
      </c>
    </row>
    <row r="19" spans="1:11" ht="15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21" t="s">
        <v>252</v>
      </c>
      <c r="E19" s="17" t="s">
        <v>252</v>
      </c>
      <c r="F19" s="13" t="b">
        <f t="shared" si="0"/>
        <v>1</v>
      </c>
      <c r="H19" s="19" t="s">
        <v>247</v>
      </c>
      <c r="I19" s="19"/>
      <c r="J19"/>
      <c r="K19"/>
    </row>
    <row r="20" spans="1:11" ht="15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21" t="s">
        <v>76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21" t="s">
        <v>82</v>
      </c>
      <c r="E21" s="17" t="s">
        <v>82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3</v>
      </c>
      <c r="K21" s="10">
        <f>J21/I11</f>
        <v>0.3</v>
      </c>
    </row>
    <row r="22" spans="1:11" ht="15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21" t="s">
        <v>82</v>
      </c>
      <c r="E22" s="17" t="s">
        <v>82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21" t="s">
        <v>76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0.1</v>
      </c>
    </row>
    <row r="24" spans="1:11" ht="15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21" t="s">
        <v>79</v>
      </c>
      <c r="E24" s="17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21" t="s">
        <v>81</v>
      </c>
      <c r="E25" s="17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ht="15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21" t="s">
        <v>77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21" t="s">
        <v>77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ht="15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21" t="s">
        <v>76</v>
      </c>
      <c r="E28" s="17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ht="15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21" t="s">
        <v>82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ht="15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21" t="s">
        <v>76</v>
      </c>
      <c r="E30" s="17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ht="15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21" t="s">
        <v>252</v>
      </c>
      <c r="E31" s="17" t="s">
        <v>252</v>
      </c>
      <c r="F31" s="13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ht="15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21" t="s">
        <v>82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1</v>
      </c>
      <c r="K32" s="10">
        <f>J32/I11</f>
        <v>0.1</v>
      </c>
    </row>
    <row r="33" spans="1:6" ht="15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21" t="s">
        <v>76</v>
      </c>
      <c r="E33" s="17" t="s">
        <v>76</v>
      </c>
      <c r="F33" s="13" t="b">
        <f t="shared" si="0"/>
        <v>1</v>
      </c>
    </row>
    <row r="34" spans="1:6" ht="15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21" t="s">
        <v>77</v>
      </c>
      <c r="E34" s="17" t="s">
        <v>77</v>
      </c>
      <c r="F34" s="13" t="b">
        <f t="shared" si="0"/>
        <v>1</v>
      </c>
    </row>
    <row r="35" spans="1:6" ht="15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21" t="s">
        <v>79</v>
      </c>
      <c r="E35" s="17" t="s">
        <v>80</v>
      </c>
      <c r="F35" s="13" t="b">
        <f t="shared" si="0"/>
        <v>0</v>
      </c>
    </row>
    <row r="36" spans="1:6" ht="15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21" t="s">
        <v>82</v>
      </c>
      <c r="E36" s="17" t="s">
        <v>80</v>
      </c>
      <c r="F36" s="13" t="b">
        <f t="shared" si="0"/>
        <v>0</v>
      </c>
    </row>
    <row r="37" spans="1:6" ht="15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21" t="s">
        <v>80</v>
      </c>
      <c r="E37" s="17" t="s">
        <v>81</v>
      </c>
      <c r="F37" s="13" t="b">
        <f t="shared" si="0"/>
        <v>0</v>
      </c>
    </row>
    <row r="38" spans="1:6" ht="15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21" t="s">
        <v>77</v>
      </c>
      <c r="E38" s="17" t="s">
        <v>252</v>
      </c>
      <c r="F38" s="13" t="b">
        <f t="shared" si="0"/>
        <v>0</v>
      </c>
    </row>
    <row r="39" spans="1:6" ht="15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21" t="s">
        <v>79</v>
      </c>
      <c r="E39" s="17" t="s">
        <v>79</v>
      </c>
      <c r="F39" s="13" t="b">
        <f t="shared" si="0"/>
        <v>1</v>
      </c>
    </row>
    <row r="40" spans="1:6" ht="15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21" t="s">
        <v>81</v>
      </c>
      <c r="E40" s="17" t="s">
        <v>82</v>
      </c>
      <c r="F40" s="13" t="b">
        <f t="shared" si="0"/>
        <v>0</v>
      </c>
    </row>
    <row r="41" spans="1:6" ht="15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21" t="s">
        <v>77</v>
      </c>
      <c r="E41" s="17" t="s">
        <v>82</v>
      </c>
      <c r="F41" s="13" t="b">
        <f t="shared" si="0"/>
        <v>0</v>
      </c>
    </row>
    <row r="42" spans="1:6" ht="15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21" t="s">
        <v>81</v>
      </c>
      <c r="E42" s="17" t="s">
        <v>81</v>
      </c>
      <c r="F42" s="13" t="b">
        <f t="shared" si="0"/>
        <v>1</v>
      </c>
    </row>
    <row r="43" spans="1:6" ht="15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21" t="s">
        <v>511</v>
      </c>
      <c r="E43" s="17" t="s">
        <v>81</v>
      </c>
      <c r="F43" s="13" t="b">
        <f t="shared" si="0"/>
        <v>0</v>
      </c>
    </row>
    <row r="44" spans="1:6" ht="15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21" t="s">
        <v>82</v>
      </c>
      <c r="E44" s="17" t="s">
        <v>80</v>
      </c>
      <c r="F44" s="13" t="b">
        <f t="shared" si="0"/>
        <v>0</v>
      </c>
    </row>
    <row r="45" spans="1:6" ht="15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21" t="s">
        <v>252</v>
      </c>
      <c r="E45" s="17" t="s">
        <v>252</v>
      </c>
      <c r="F45" s="13" t="b">
        <f t="shared" si="0"/>
        <v>1</v>
      </c>
    </row>
    <row r="46" spans="1:6" ht="15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21" t="s">
        <v>79</v>
      </c>
      <c r="E46" s="17" t="s">
        <v>81</v>
      </c>
      <c r="F46" s="13" t="b">
        <f t="shared" si="0"/>
        <v>0</v>
      </c>
    </row>
    <row r="47" spans="1:6" ht="15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21" t="s">
        <v>80</v>
      </c>
      <c r="E47" s="17" t="s">
        <v>82</v>
      </c>
      <c r="F47" s="13" t="b">
        <f t="shared" si="0"/>
        <v>0</v>
      </c>
    </row>
    <row r="48" spans="1:6" ht="15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21" t="s">
        <v>82</v>
      </c>
      <c r="E48" s="17" t="s">
        <v>79</v>
      </c>
      <c r="F48" s="13" t="b">
        <f t="shared" si="0"/>
        <v>0</v>
      </c>
    </row>
    <row r="49" spans="1:6" ht="15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21" t="s">
        <v>76</v>
      </c>
      <c r="E49" s="17" t="s">
        <v>81</v>
      </c>
      <c r="F49" s="13" t="b">
        <f t="shared" si="0"/>
        <v>0</v>
      </c>
    </row>
    <row r="50" spans="1:6" ht="15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21" t="s">
        <v>81</v>
      </c>
      <c r="E50" s="17" t="s">
        <v>81</v>
      </c>
      <c r="F50" s="13" t="b">
        <f t="shared" si="0"/>
        <v>1</v>
      </c>
    </row>
    <row r="51" spans="1:6" ht="15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21" t="s">
        <v>76</v>
      </c>
      <c r="E51" s="17" t="s">
        <v>77</v>
      </c>
      <c r="F51" s="13" t="b">
        <f t="shared" si="0"/>
        <v>0</v>
      </c>
    </row>
    <row r="52" spans="1:6" ht="15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21" t="s">
        <v>76</v>
      </c>
      <c r="E52" s="17" t="s">
        <v>76</v>
      </c>
      <c r="F52" s="13" t="b">
        <f t="shared" si="0"/>
        <v>1</v>
      </c>
    </row>
    <row r="53" spans="1:6" ht="15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21" t="s">
        <v>82</v>
      </c>
      <c r="E53" s="17" t="s">
        <v>82</v>
      </c>
      <c r="F53" s="13" t="b">
        <f t="shared" si="0"/>
        <v>1</v>
      </c>
    </row>
    <row r="54" spans="1:6" ht="15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21" t="s">
        <v>77</v>
      </c>
      <c r="E54" s="17" t="s">
        <v>77</v>
      </c>
      <c r="F54" s="13" t="b">
        <f t="shared" si="0"/>
        <v>1</v>
      </c>
    </row>
    <row r="55" spans="1:6" ht="15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21" t="s">
        <v>76</v>
      </c>
      <c r="E55" s="17" t="s">
        <v>79</v>
      </c>
      <c r="F55" s="13" t="b">
        <f t="shared" si="0"/>
        <v>0</v>
      </c>
    </row>
    <row r="56" spans="1:6" ht="15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21" t="s">
        <v>252</v>
      </c>
      <c r="E56" s="17" t="s">
        <v>252</v>
      </c>
      <c r="F56" s="13" t="b">
        <f t="shared" si="0"/>
        <v>1</v>
      </c>
    </row>
    <row r="57" spans="1:6" ht="15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21" t="s">
        <v>77</v>
      </c>
      <c r="E57" s="17" t="s">
        <v>77</v>
      </c>
      <c r="F57" s="13" t="b">
        <f t="shared" si="0"/>
        <v>1</v>
      </c>
    </row>
    <row r="58" spans="1:6" ht="15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21" t="s">
        <v>76</v>
      </c>
      <c r="E58" s="17" t="s">
        <v>82</v>
      </c>
      <c r="F58" s="13" t="b">
        <f t="shared" si="0"/>
        <v>0</v>
      </c>
    </row>
    <row r="59" spans="1:6" ht="15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21" t="s">
        <v>80</v>
      </c>
      <c r="E59" s="17" t="s">
        <v>81</v>
      </c>
      <c r="F59" s="13" t="b">
        <f t="shared" si="0"/>
        <v>0</v>
      </c>
    </row>
    <row r="60" spans="1:6" ht="15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21" t="s">
        <v>82</v>
      </c>
      <c r="E60" s="17" t="s">
        <v>79</v>
      </c>
      <c r="F60" s="13" t="b">
        <f t="shared" si="0"/>
        <v>0</v>
      </c>
    </row>
    <row r="61" spans="1:6" ht="15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21" t="s">
        <v>252</v>
      </c>
      <c r="E61" s="17" t="s">
        <v>252</v>
      </c>
      <c r="F61" s="13" t="b">
        <f t="shared" si="0"/>
        <v>1</v>
      </c>
    </row>
    <row r="62" spans="1:6" ht="15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21" t="s">
        <v>252</v>
      </c>
      <c r="E62" s="17" t="s">
        <v>252</v>
      </c>
      <c r="F62" s="13" t="b">
        <f t="shared" si="0"/>
        <v>1</v>
      </c>
    </row>
    <row r="63" spans="1:6" ht="15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21" t="s">
        <v>81</v>
      </c>
      <c r="E63" s="17" t="s">
        <v>81</v>
      </c>
      <c r="F63" s="13" t="b">
        <f t="shared" si="0"/>
        <v>1</v>
      </c>
    </row>
    <row r="64" spans="1:6" ht="15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21" t="s">
        <v>79</v>
      </c>
      <c r="E64" s="17" t="s">
        <v>252</v>
      </c>
      <c r="F64" s="13" t="b">
        <f t="shared" si="0"/>
        <v>0</v>
      </c>
    </row>
    <row r="65" spans="1:6" ht="15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21" t="s">
        <v>76</v>
      </c>
      <c r="E65" s="17" t="s">
        <v>76</v>
      </c>
      <c r="F65" s="13" t="b">
        <f t="shared" si="0"/>
        <v>1</v>
      </c>
    </row>
    <row r="66" spans="1:6" ht="15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21" t="s">
        <v>81</v>
      </c>
      <c r="E66" s="17" t="s">
        <v>79</v>
      </c>
      <c r="F66" s="13" t="b">
        <f t="shared" si="0"/>
        <v>0</v>
      </c>
    </row>
    <row r="67" spans="1:6" ht="15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21" t="s">
        <v>82</v>
      </c>
      <c r="E67" s="17" t="s">
        <v>82</v>
      </c>
      <c r="F67" s="13" t="b">
        <f t="shared" ref="F67:F71" si="7">IF(D67=E67, TRUE, FALSE)</f>
        <v>1</v>
      </c>
    </row>
    <row r="68" spans="1:6" ht="15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21" t="s">
        <v>80</v>
      </c>
      <c r="E68" s="17" t="s">
        <v>77</v>
      </c>
      <c r="F68" s="13" t="b">
        <f t="shared" si="7"/>
        <v>0</v>
      </c>
    </row>
    <row r="69" spans="1:6" ht="15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21" t="s">
        <v>82</v>
      </c>
      <c r="E69" s="17" t="s">
        <v>77</v>
      </c>
      <c r="F69" s="13" t="b">
        <f t="shared" si="7"/>
        <v>0</v>
      </c>
    </row>
    <row r="70" spans="1:6" ht="15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21" t="s">
        <v>77</v>
      </c>
      <c r="E70" s="17" t="s">
        <v>80</v>
      </c>
      <c r="F70" s="13" t="b">
        <f t="shared" si="7"/>
        <v>0</v>
      </c>
    </row>
    <row r="71" spans="1:6" ht="15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21" t="s">
        <v>76</v>
      </c>
      <c r="E71" s="17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ht="15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21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41</v>
      </c>
      <c r="J2" s="4">
        <f>I2/H2</f>
        <v>0.29285714285714287</v>
      </c>
    </row>
    <row r="3" spans="1:11" ht="15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21" t="s">
        <v>80</v>
      </c>
      <c r="E3" s="1" t="s">
        <v>82</v>
      </c>
      <c r="F3" s="13" t="b">
        <f t="shared" ref="F3:F66" si="0">IF(D3=E3, TRUE, FALSE)</f>
        <v>0</v>
      </c>
    </row>
    <row r="4" spans="1:11" ht="15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21" t="s">
        <v>76</v>
      </c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ht="15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21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ht="15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21" t="s">
        <v>511</v>
      </c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6</v>
      </c>
      <c r="K6" s="3">
        <f>J6/I6</f>
        <v>0.3</v>
      </c>
    </row>
    <row r="7" spans="1:11" ht="15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21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6</v>
      </c>
      <c r="K7" s="3">
        <f t="shared" ref="K7:K12" si="3">J7/I7</f>
        <v>0.3</v>
      </c>
    </row>
    <row r="8" spans="1:11" ht="15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21" t="s">
        <v>76</v>
      </c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4</v>
      </c>
      <c r="K8" s="3">
        <f t="shared" si="3"/>
        <v>0.2</v>
      </c>
    </row>
    <row r="9" spans="1:11" ht="15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21" t="s">
        <v>82</v>
      </c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6</v>
      </c>
      <c r="K9" s="3">
        <f t="shared" si="3"/>
        <v>0.3</v>
      </c>
    </row>
    <row r="10" spans="1:11" ht="15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21" t="s">
        <v>79</v>
      </c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1</v>
      </c>
      <c r="K10" s="3">
        <f t="shared" si="3"/>
        <v>0.05</v>
      </c>
    </row>
    <row r="11" spans="1:11" ht="15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21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3</v>
      </c>
      <c r="K11" s="3">
        <f t="shared" si="3"/>
        <v>0.15</v>
      </c>
    </row>
    <row r="12" spans="1:11" ht="15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21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15</v>
      </c>
      <c r="K12" s="3">
        <f t="shared" si="3"/>
        <v>0.75</v>
      </c>
    </row>
    <row r="13" spans="1:11" ht="15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21" t="s">
        <v>77</v>
      </c>
      <c r="E13" s="1" t="s">
        <v>80</v>
      </c>
      <c r="F13" s="13" t="b">
        <f t="shared" si="0"/>
        <v>0</v>
      </c>
    </row>
    <row r="14" spans="1:11" ht="15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21" t="s">
        <v>81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ht="15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21" t="s">
        <v>76</v>
      </c>
      <c r="E15" s="1" t="s">
        <v>76</v>
      </c>
      <c r="F15" s="13" t="b">
        <f t="shared" si="0"/>
        <v>1</v>
      </c>
      <c r="H15" s="6" t="s">
        <v>258</v>
      </c>
      <c r="I15" s="6">
        <f>COUNTIF(C2:C141, "Short")</f>
        <v>66</v>
      </c>
      <c r="J15" s="6">
        <f>COUNTIFS(C2:C141, "Short", F2:F141, TRUE)</f>
        <v>20</v>
      </c>
      <c r="K15" s="4">
        <f>J15/I15</f>
        <v>0.30303030303030304</v>
      </c>
    </row>
    <row r="16" spans="1:11" ht="15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21" t="s">
        <v>252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18</v>
      </c>
      <c r="K16" s="4">
        <f t="shared" ref="K16:K17" si="4">J16/I16</f>
        <v>0.35294117647058826</v>
      </c>
    </row>
    <row r="17" spans="1:11" ht="15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21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3</v>
      </c>
      <c r="K17" s="4">
        <f t="shared" si="4"/>
        <v>0.13043478260869565</v>
      </c>
    </row>
    <row r="18" spans="1:11" ht="15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21" t="s">
        <v>79</v>
      </c>
      <c r="E18" s="1" t="s">
        <v>79</v>
      </c>
      <c r="F18" s="13" t="b">
        <f t="shared" si="0"/>
        <v>1</v>
      </c>
    </row>
    <row r="19" spans="1:11" ht="15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21" t="s">
        <v>82</v>
      </c>
      <c r="E19" s="1" t="s">
        <v>77</v>
      </c>
      <c r="F19" s="13" t="b">
        <f t="shared" si="0"/>
        <v>0</v>
      </c>
      <c r="H19" s="19" t="s">
        <v>247</v>
      </c>
      <c r="I19" s="19"/>
    </row>
    <row r="20" spans="1:11" ht="15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21" t="s">
        <v>82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ht="15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21" t="s">
        <v>80</v>
      </c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ht="15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21" t="s">
        <v>79</v>
      </c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ht="15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21" t="s">
        <v>82</v>
      </c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ht="15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21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ht="15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21" t="s">
        <v>80</v>
      </c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2</v>
      </c>
      <c r="K25" s="10">
        <f>J25/I6</f>
        <v>0.1</v>
      </c>
    </row>
    <row r="26" spans="1:11" ht="15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21" t="s">
        <v>82</v>
      </c>
      <c r="E26" s="1" t="s">
        <v>82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ht="15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21" t="s">
        <v>76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ht="15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21" t="s">
        <v>76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ht="15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21" t="s">
        <v>81</v>
      </c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ht="15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21" t="s">
        <v>77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ht="15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20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ht="15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20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1</v>
      </c>
      <c r="K32" s="10">
        <f>J32/I11</f>
        <v>0.05</v>
      </c>
    </row>
    <row r="33" spans="1:6" ht="15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20" t="s">
        <v>82</v>
      </c>
      <c r="E33" s="1" t="s">
        <v>79</v>
      </c>
      <c r="F33" s="13" t="b">
        <f t="shared" si="0"/>
        <v>0</v>
      </c>
    </row>
    <row r="34" spans="1:6" ht="15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20" t="s">
        <v>80</v>
      </c>
      <c r="E34" s="1" t="s">
        <v>80</v>
      </c>
      <c r="F34" s="13" t="b">
        <f t="shared" si="0"/>
        <v>1</v>
      </c>
    </row>
    <row r="35" spans="1:6" ht="15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20" t="s">
        <v>81</v>
      </c>
      <c r="E35" s="1" t="s">
        <v>252</v>
      </c>
      <c r="F35" s="13" t="b">
        <f t="shared" si="0"/>
        <v>0</v>
      </c>
    </row>
    <row r="36" spans="1:6" ht="15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20" t="s">
        <v>76</v>
      </c>
      <c r="E36" s="1" t="s">
        <v>76</v>
      </c>
      <c r="F36" s="13" t="b">
        <f t="shared" si="0"/>
        <v>1</v>
      </c>
    </row>
    <row r="37" spans="1:6" ht="15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20" t="s">
        <v>79</v>
      </c>
      <c r="E37" s="1" t="s">
        <v>76</v>
      </c>
      <c r="F37" s="13" t="b">
        <f t="shared" si="0"/>
        <v>0</v>
      </c>
    </row>
    <row r="38" spans="1:6" ht="15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20" t="s">
        <v>82</v>
      </c>
      <c r="E38" s="1" t="s">
        <v>81</v>
      </c>
      <c r="F38" s="13" t="b">
        <f t="shared" si="0"/>
        <v>0</v>
      </c>
    </row>
    <row r="39" spans="1:6" ht="15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20" t="s">
        <v>77</v>
      </c>
      <c r="E39" s="1" t="s">
        <v>82</v>
      </c>
      <c r="F39" s="13" t="b">
        <f t="shared" si="0"/>
        <v>0</v>
      </c>
    </row>
    <row r="40" spans="1:6" ht="15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20" t="s">
        <v>77</v>
      </c>
      <c r="E40" s="1" t="s">
        <v>82</v>
      </c>
      <c r="F40" s="13" t="b">
        <f t="shared" si="0"/>
        <v>0</v>
      </c>
    </row>
    <row r="41" spans="1:6" ht="15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20" t="s">
        <v>82</v>
      </c>
      <c r="E41" s="1" t="s">
        <v>77</v>
      </c>
      <c r="F41" s="13" t="b">
        <f t="shared" si="0"/>
        <v>0</v>
      </c>
    </row>
    <row r="42" spans="1:6" ht="15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20" t="s">
        <v>80</v>
      </c>
      <c r="E42" s="1" t="s">
        <v>80</v>
      </c>
      <c r="F42" s="13" t="b">
        <f t="shared" si="0"/>
        <v>1</v>
      </c>
    </row>
    <row r="43" spans="1:6" ht="15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20" t="s">
        <v>76</v>
      </c>
      <c r="E43" s="1" t="s">
        <v>76</v>
      </c>
      <c r="F43" s="13" t="b">
        <f t="shared" si="0"/>
        <v>1</v>
      </c>
    </row>
    <row r="44" spans="1:6" ht="15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20" t="s">
        <v>79</v>
      </c>
      <c r="E44" s="1" t="s">
        <v>252</v>
      </c>
      <c r="F44" s="13" t="b">
        <f t="shared" si="0"/>
        <v>0</v>
      </c>
    </row>
    <row r="45" spans="1:6" ht="15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20" t="s">
        <v>79</v>
      </c>
      <c r="E45" s="1" t="s">
        <v>79</v>
      </c>
      <c r="F45" s="13" t="b">
        <f t="shared" si="0"/>
        <v>1</v>
      </c>
    </row>
    <row r="46" spans="1:6" ht="15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20" t="s">
        <v>81</v>
      </c>
      <c r="E46" s="1" t="s">
        <v>252</v>
      </c>
      <c r="F46" s="13" t="b">
        <f t="shared" si="0"/>
        <v>0</v>
      </c>
    </row>
    <row r="47" spans="1:6" ht="15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20" t="s">
        <v>79</v>
      </c>
      <c r="E47" s="1" t="s">
        <v>76</v>
      </c>
      <c r="F47" s="13" t="b">
        <f t="shared" si="0"/>
        <v>0</v>
      </c>
    </row>
    <row r="48" spans="1:6" ht="15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20" t="s">
        <v>82</v>
      </c>
      <c r="E48" s="1" t="s">
        <v>81</v>
      </c>
      <c r="F48" s="13" t="b">
        <f t="shared" si="0"/>
        <v>0</v>
      </c>
    </row>
    <row r="49" spans="1:6" ht="15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20" t="s">
        <v>76</v>
      </c>
      <c r="E49" s="1" t="s">
        <v>76</v>
      </c>
      <c r="F49" s="13" t="b">
        <f t="shared" si="0"/>
        <v>1</v>
      </c>
    </row>
    <row r="50" spans="1:6" ht="15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20" t="s">
        <v>80</v>
      </c>
      <c r="E50" s="1" t="s">
        <v>81</v>
      </c>
      <c r="F50" s="13" t="b">
        <f t="shared" si="0"/>
        <v>0</v>
      </c>
    </row>
    <row r="51" spans="1:6" ht="15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20" t="s">
        <v>82</v>
      </c>
      <c r="E51" s="1" t="s">
        <v>80</v>
      </c>
      <c r="F51" s="13" t="b">
        <f t="shared" si="0"/>
        <v>0</v>
      </c>
    </row>
    <row r="52" spans="1:6" ht="15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20" t="s">
        <v>82</v>
      </c>
      <c r="E52" s="1" t="s">
        <v>77</v>
      </c>
      <c r="F52" s="13" t="b">
        <f t="shared" si="0"/>
        <v>0</v>
      </c>
    </row>
    <row r="53" spans="1:6" ht="15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20" t="s">
        <v>76</v>
      </c>
      <c r="E53" s="1" t="s">
        <v>76</v>
      </c>
      <c r="F53" s="13" t="b">
        <f t="shared" si="0"/>
        <v>1</v>
      </c>
    </row>
    <row r="54" spans="1:6" ht="15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20" t="s">
        <v>79</v>
      </c>
      <c r="E54" s="1" t="s">
        <v>79</v>
      </c>
      <c r="F54" s="13" t="b">
        <f t="shared" si="0"/>
        <v>1</v>
      </c>
    </row>
    <row r="55" spans="1:6" ht="15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20" t="s">
        <v>77</v>
      </c>
      <c r="E55" s="1" t="s">
        <v>82</v>
      </c>
      <c r="F55" s="13" t="b">
        <f t="shared" si="0"/>
        <v>0</v>
      </c>
    </row>
    <row r="56" spans="1:6" ht="15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20" t="s">
        <v>76</v>
      </c>
      <c r="E56" s="1" t="s">
        <v>81</v>
      </c>
      <c r="F56" s="13" t="b">
        <f t="shared" si="0"/>
        <v>0</v>
      </c>
    </row>
    <row r="57" spans="1:6" ht="15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20" t="s">
        <v>76</v>
      </c>
      <c r="E57" s="1" t="s">
        <v>76</v>
      </c>
      <c r="F57" s="13" t="b">
        <f t="shared" si="0"/>
        <v>1</v>
      </c>
    </row>
    <row r="58" spans="1:6" ht="15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20" t="s">
        <v>81</v>
      </c>
      <c r="E58" s="1" t="s">
        <v>81</v>
      </c>
      <c r="F58" s="13" t="b">
        <f t="shared" si="0"/>
        <v>1</v>
      </c>
    </row>
    <row r="59" spans="1:6" ht="15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20" t="s">
        <v>77</v>
      </c>
      <c r="E59" s="1" t="s">
        <v>79</v>
      </c>
      <c r="F59" s="13" t="b">
        <f t="shared" si="0"/>
        <v>0</v>
      </c>
    </row>
    <row r="60" spans="1:6" ht="15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20" t="s">
        <v>81</v>
      </c>
      <c r="E60" s="1" t="s">
        <v>79</v>
      </c>
      <c r="F60" s="13" t="b">
        <f t="shared" si="0"/>
        <v>0</v>
      </c>
    </row>
    <row r="61" spans="1:6" ht="15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20" t="s">
        <v>76</v>
      </c>
      <c r="E61" s="1" t="s">
        <v>76</v>
      </c>
      <c r="F61" s="13" t="b">
        <f t="shared" si="0"/>
        <v>1</v>
      </c>
    </row>
    <row r="62" spans="1:6" ht="15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20" t="s">
        <v>77</v>
      </c>
      <c r="E62" s="1" t="s">
        <v>252</v>
      </c>
      <c r="F62" s="13" t="b">
        <f t="shared" si="0"/>
        <v>0</v>
      </c>
    </row>
    <row r="63" spans="1:6" ht="15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20" t="s">
        <v>81</v>
      </c>
      <c r="E63" s="1" t="s">
        <v>79</v>
      </c>
      <c r="F63" s="13" t="b">
        <f t="shared" si="0"/>
        <v>0</v>
      </c>
    </row>
    <row r="64" spans="1:6" ht="15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20" t="s">
        <v>77</v>
      </c>
      <c r="E64" s="1" t="s">
        <v>82</v>
      </c>
      <c r="F64" s="13" t="b">
        <f t="shared" si="0"/>
        <v>0</v>
      </c>
    </row>
    <row r="65" spans="1:6" ht="15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20" t="s">
        <v>81</v>
      </c>
      <c r="E65" s="1" t="s">
        <v>81</v>
      </c>
      <c r="F65" s="13" t="b">
        <f t="shared" si="0"/>
        <v>1</v>
      </c>
    </row>
    <row r="66" spans="1:6" ht="15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20" t="s">
        <v>79</v>
      </c>
      <c r="E66" s="1" t="s">
        <v>80</v>
      </c>
      <c r="F66" s="13" t="b">
        <f t="shared" si="0"/>
        <v>0</v>
      </c>
    </row>
    <row r="67" spans="1:6" ht="15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20" t="s">
        <v>76</v>
      </c>
      <c r="E67" s="1" t="s">
        <v>81</v>
      </c>
      <c r="F67" s="13" t="b">
        <f t="shared" ref="F67:F130" si="7">IF(D67=E67, TRUE, FALSE)</f>
        <v>0</v>
      </c>
    </row>
    <row r="68" spans="1:6" ht="15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20" t="s">
        <v>76</v>
      </c>
      <c r="E68" s="1" t="s">
        <v>82</v>
      </c>
      <c r="F68" s="13" t="b">
        <f t="shared" si="7"/>
        <v>0</v>
      </c>
    </row>
    <row r="69" spans="1:6" ht="15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20" t="s">
        <v>82</v>
      </c>
      <c r="E69" s="1" t="s">
        <v>80</v>
      </c>
      <c r="F69" s="13" t="b">
        <f t="shared" si="7"/>
        <v>0</v>
      </c>
    </row>
    <row r="70" spans="1:6" ht="15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20" t="s">
        <v>82</v>
      </c>
      <c r="E70" s="1" t="s">
        <v>252</v>
      </c>
      <c r="F70" s="13" t="b">
        <f t="shared" si="7"/>
        <v>0</v>
      </c>
    </row>
    <row r="71" spans="1:6" ht="15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20" t="s">
        <v>77</v>
      </c>
      <c r="E71" s="1" t="s">
        <v>81</v>
      </c>
      <c r="F71" s="13" t="b">
        <f t="shared" si="7"/>
        <v>0</v>
      </c>
    </row>
    <row r="72" spans="1:6" ht="15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20" t="s">
        <v>252</v>
      </c>
      <c r="E72" s="1" t="s">
        <v>252</v>
      </c>
      <c r="F72" s="13" t="b">
        <f t="shared" si="7"/>
        <v>1</v>
      </c>
    </row>
    <row r="73" spans="1:6" ht="15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20" t="s">
        <v>76</v>
      </c>
      <c r="E73" s="1" t="s">
        <v>252</v>
      </c>
      <c r="F73" s="13" t="b">
        <f t="shared" si="7"/>
        <v>0</v>
      </c>
    </row>
    <row r="74" spans="1:6" ht="15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20" t="s">
        <v>80</v>
      </c>
      <c r="E74" s="1" t="s">
        <v>82</v>
      </c>
      <c r="F74" s="13" t="b">
        <f t="shared" si="7"/>
        <v>0</v>
      </c>
    </row>
    <row r="75" spans="1:6" ht="15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20" t="s">
        <v>82</v>
      </c>
      <c r="E75" s="1" t="s">
        <v>77</v>
      </c>
      <c r="F75" s="13" t="b">
        <f t="shared" si="7"/>
        <v>0</v>
      </c>
    </row>
    <row r="76" spans="1:6" ht="15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20" t="s">
        <v>76</v>
      </c>
      <c r="E76" s="1" t="s">
        <v>79</v>
      </c>
      <c r="F76" s="13" t="b">
        <f t="shared" si="7"/>
        <v>0</v>
      </c>
    </row>
    <row r="77" spans="1:6" ht="15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20" t="s">
        <v>79</v>
      </c>
      <c r="E77" s="1" t="s">
        <v>82</v>
      </c>
      <c r="F77" s="13" t="b">
        <f t="shared" si="7"/>
        <v>0</v>
      </c>
    </row>
    <row r="78" spans="1:6" ht="15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20" t="s">
        <v>79</v>
      </c>
      <c r="E78" s="1" t="s">
        <v>81</v>
      </c>
      <c r="F78" s="13" t="b">
        <f t="shared" si="7"/>
        <v>0</v>
      </c>
    </row>
    <row r="79" spans="1:6" ht="15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20" t="s">
        <v>81</v>
      </c>
      <c r="E79" s="1" t="s">
        <v>81</v>
      </c>
      <c r="F79" s="13" t="b">
        <f t="shared" si="7"/>
        <v>1</v>
      </c>
    </row>
    <row r="80" spans="1:6" ht="15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20" t="s">
        <v>252</v>
      </c>
      <c r="E80" s="1" t="s">
        <v>81</v>
      </c>
      <c r="F80" s="13" t="b">
        <f t="shared" si="7"/>
        <v>0</v>
      </c>
    </row>
    <row r="81" spans="1:6" ht="15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20" t="s">
        <v>76</v>
      </c>
      <c r="E81" s="1" t="s">
        <v>79</v>
      </c>
      <c r="F81" s="13" t="b">
        <f t="shared" si="7"/>
        <v>0</v>
      </c>
    </row>
    <row r="82" spans="1:6" ht="15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20" t="s">
        <v>77</v>
      </c>
      <c r="E82" s="1" t="s">
        <v>80</v>
      </c>
      <c r="F82" s="13" t="b">
        <f t="shared" si="7"/>
        <v>0</v>
      </c>
    </row>
    <row r="83" spans="1:6" ht="15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20" t="s">
        <v>76</v>
      </c>
      <c r="E83" s="1" t="s">
        <v>81</v>
      </c>
      <c r="F83" s="13" t="b">
        <f t="shared" si="7"/>
        <v>0</v>
      </c>
    </row>
    <row r="84" spans="1:6" ht="15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20" t="s">
        <v>79</v>
      </c>
      <c r="E84" s="1" t="s">
        <v>252</v>
      </c>
      <c r="F84" s="13" t="b">
        <f t="shared" si="7"/>
        <v>0</v>
      </c>
    </row>
    <row r="85" spans="1:6" ht="15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20" t="s">
        <v>76</v>
      </c>
      <c r="E85" s="1" t="s">
        <v>77</v>
      </c>
      <c r="F85" s="13" t="b">
        <f t="shared" si="7"/>
        <v>0</v>
      </c>
    </row>
    <row r="86" spans="1:6" ht="15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20" t="s">
        <v>82</v>
      </c>
      <c r="E86" s="1" t="s">
        <v>79</v>
      </c>
      <c r="F86" s="13" t="b">
        <f t="shared" si="7"/>
        <v>0</v>
      </c>
    </row>
    <row r="87" spans="1:6" ht="15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20" t="s">
        <v>77</v>
      </c>
      <c r="E87" s="1" t="s">
        <v>82</v>
      </c>
      <c r="F87" s="13" t="b">
        <f t="shared" si="7"/>
        <v>0</v>
      </c>
    </row>
    <row r="88" spans="1:6" ht="15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20" t="s">
        <v>79</v>
      </c>
      <c r="E88" s="1" t="s">
        <v>252</v>
      </c>
      <c r="F88" s="13" t="b">
        <f t="shared" si="7"/>
        <v>0</v>
      </c>
    </row>
    <row r="89" spans="1:6" ht="15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20" t="s">
        <v>77</v>
      </c>
      <c r="E89" s="1" t="s">
        <v>80</v>
      </c>
      <c r="F89" s="13" t="b">
        <f t="shared" si="7"/>
        <v>0</v>
      </c>
    </row>
    <row r="90" spans="1:6" ht="15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20" t="s">
        <v>77</v>
      </c>
      <c r="E90" s="1" t="s">
        <v>82</v>
      </c>
      <c r="F90" s="13" t="b">
        <f t="shared" si="7"/>
        <v>0</v>
      </c>
    </row>
    <row r="91" spans="1:6" ht="15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20" t="s">
        <v>76</v>
      </c>
      <c r="E91" s="1" t="s">
        <v>79</v>
      </c>
      <c r="F91" s="13" t="b">
        <f t="shared" si="7"/>
        <v>0</v>
      </c>
    </row>
    <row r="92" spans="1:6" ht="15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20" t="s">
        <v>77</v>
      </c>
      <c r="E92" s="1" t="s">
        <v>82</v>
      </c>
      <c r="F92" s="13" t="b">
        <f t="shared" si="7"/>
        <v>0</v>
      </c>
    </row>
    <row r="93" spans="1:6" ht="15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20" t="s">
        <v>77</v>
      </c>
      <c r="E93" s="1" t="s">
        <v>77</v>
      </c>
      <c r="F93" s="13" t="b">
        <f t="shared" si="7"/>
        <v>1</v>
      </c>
    </row>
    <row r="94" spans="1:6" ht="15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20" t="s">
        <v>76</v>
      </c>
      <c r="E94" s="1" t="s">
        <v>77</v>
      </c>
      <c r="F94" s="13" t="b">
        <f t="shared" si="7"/>
        <v>0</v>
      </c>
    </row>
    <row r="95" spans="1:6" ht="15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20" t="s">
        <v>79</v>
      </c>
      <c r="E95" s="1" t="s">
        <v>77</v>
      </c>
      <c r="F95" s="13" t="b">
        <f t="shared" si="7"/>
        <v>0</v>
      </c>
    </row>
    <row r="96" spans="1:6" ht="15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20" t="s">
        <v>76</v>
      </c>
      <c r="E96" s="1" t="s">
        <v>76</v>
      </c>
      <c r="F96" s="13" t="b">
        <f t="shared" si="7"/>
        <v>1</v>
      </c>
    </row>
    <row r="97" spans="1:6" ht="15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20" t="s">
        <v>79</v>
      </c>
      <c r="E97" s="1" t="s">
        <v>82</v>
      </c>
      <c r="F97" s="13" t="b">
        <f t="shared" si="7"/>
        <v>0</v>
      </c>
    </row>
    <row r="98" spans="1:6" ht="15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20" t="s">
        <v>82</v>
      </c>
      <c r="E98" s="1" t="s">
        <v>80</v>
      </c>
      <c r="F98" s="13" t="b">
        <f t="shared" si="7"/>
        <v>0</v>
      </c>
    </row>
    <row r="99" spans="1:6" ht="15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20" t="s">
        <v>252</v>
      </c>
      <c r="E99" s="1" t="s">
        <v>77</v>
      </c>
      <c r="F99" s="13" t="b">
        <f t="shared" si="7"/>
        <v>0</v>
      </c>
    </row>
    <row r="100" spans="1:6" ht="15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20" t="s">
        <v>80</v>
      </c>
      <c r="E100" s="1" t="s">
        <v>79</v>
      </c>
      <c r="F100" s="13" t="b">
        <f t="shared" si="7"/>
        <v>0</v>
      </c>
    </row>
    <row r="101" spans="1:6" ht="15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20" t="s">
        <v>79</v>
      </c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22" t="s">
        <v>77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22" t="s">
        <v>81</v>
      </c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22" t="s">
        <v>79</v>
      </c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22" t="s">
        <v>82</v>
      </c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22" t="s">
        <v>80</v>
      </c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22" t="s">
        <v>76</v>
      </c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22" t="s">
        <v>82</v>
      </c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22" t="s">
        <v>252</v>
      </c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22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22" t="s">
        <v>80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22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22" t="s">
        <v>77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22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22" t="s">
        <v>81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22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22" t="s">
        <v>79</v>
      </c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22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22" t="s">
        <v>252</v>
      </c>
      <c r="E119" s="1" t="s">
        <v>252</v>
      </c>
      <c r="F119" s="13" t="b">
        <f t="shared" si="7"/>
        <v>1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22" t="s">
        <v>76</v>
      </c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22" t="s">
        <v>252</v>
      </c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22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22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22" t="s">
        <v>252</v>
      </c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22" t="s">
        <v>82</v>
      </c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22" t="s">
        <v>79</v>
      </c>
      <c r="E126" s="1" t="s">
        <v>79</v>
      </c>
      <c r="F126" s="13" t="b">
        <f t="shared" si="7"/>
        <v>1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22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22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22" t="s">
        <v>82</v>
      </c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22" t="s">
        <v>77</v>
      </c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22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22" t="s">
        <v>82</v>
      </c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22" t="s">
        <v>76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22" t="s">
        <v>81</v>
      </c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22" t="s">
        <v>79</v>
      </c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22" t="s">
        <v>252</v>
      </c>
      <c r="E136" s="1" t="s">
        <v>252</v>
      </c>
      <c r="F136" s="13" t="b">
        <f t="shared" si="8"/>
        <v>1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22" t="s">
        <v>79</v>
      </c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22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22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22" t="s">
        <v>82</v>
      </c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22" t="s">
        <v>81</v>
      </c>
      <c r="E141" s="1" t="s">
        <v>81</v>
      </c>
      <c r="F141" s="13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C1" zoomScale="85" zoomScaleNormal="85" workbookViewId="0">
      <selection activeCell="J2" sqref="J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23" t="s">
        <v>79</v>
      </c>
      <c r="E2" s="1" t="s">
        <v>81</v>
      </c>
      <c r="F2" s="1" t="b">
        <f>IF(D2=E2, TRUE, FALSE)</f>
        <v>0</v>
      </c>
      <c r="H2" s="1">
        <v>210</v>
      </c>
      <c r="I2" s="1">
        <f>COUNTIF(F2:F211, TRUE)</f>
        <v>70</v>
      </c>
      <c r="J2" s="4">
        <f>I2/H2</f>
        <v>0.33333333333333331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23" t="s">
        <v>81</v>
      </c>
      <c r="E3" s="1" t="s">
        <v>76</v>
      </c>
      <c r="F3" s="13" t="b">
        <f t="shared" ref="F3:F66" si="0">IF(D3=E3, TRUE, FALSE)</f>
        <v>0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23" t="s">
        <v>82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23" t="s">
        <v>79</v>
      </c>
      <c r="E5" s="1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23" t="s">
        <v>80</v>
      </c>
      <c r="E6" s="1" t="s">
        <v>82</v>
      </c>
      <c r="F6" s="13" t="b">
        <f t="shared" si="0"/>
        <v>0</v>
      </c>
      <c r="H6" s="1" t="s">
        <v>252</v>
      </c>
      <c r="I6" s="1">
        <f>COUNTIF($E$2:$E$211,H6)</f>
        <v>30</v>
      </c>
      <c r="J6" s="1">
        <f>COUNTIFS($E$2:$E$211, H6, $D$2:$D$211, H6)</f>
        <v>10</v>
      </c>
      <c r="K6" s="3">
        <f>J6/I6</f>
        <v>0.33333333333333331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23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6</v>
      </c>
      <c r="K7" s="3">
        <f t="shared" ref="K7:K12" si="3">J7/I7</f>
        <v>0.2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23" t="s">
        <v>79</v>
      </c>
      <c r="E8" s="1" t="s">
        <v>252</v>
      </c>
      <c r="F8" s="13" t="b">
        <f t="shared" si="0"/>
        <v>0</v>
      </c>
      <c r="H8" s="1" t="s">
        <v>79</v>
      </c>
      <c r="I8" s="1">
        <f t="shared" si="1"/>
        <v>30</v>
      </c>
      <c r="J8" s="1">
        <f t="shared" si="2"/>
        <v>11</v>
      </c>
      <c r="K8" s="3">
        <f t="shared" si="3"/>
        <v>0.36666666666666664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23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4</v>
      </c>
      <c r="K9" s="3">
        <f t="shared" si="3"/>
        <v>0.13333333333333333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23" t="s">
        <v>82</v>
      </c>
      <c r="E10" s="1" t="s">
        <v>79</v>
      </c>
      <c r="F10" s="13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7</v>
      </c>
      <c r="K10" s="3">
        <f t="shared" si="3"/>
        <v>0.23333333333333334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23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5</v>
      </c>
      <c r="K11" s="3">
        <f t="shared" si="3"/>
        <v>0.16666666666666666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23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27</v>
      </c>
      <c r="K12" s="3">
        <f t="shared" si="3"/>
        <v>0.9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23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23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23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26</v>
      </c>
      <c r="K15" s="4">
        <f>J15/I15</f>
        <v>0.27083333333333331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23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42</v>
      </c>
      <c r="K16" s="4">
        <f t="shared" ref="K16:K17" si="4">J16/I16</f>
        <v>0.4375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23" t="s">
        <v>77</v>
      </c>
      <c r="E17" s="1" t="s">
        <v>80</v>
      </c>
      <c r="F17" s="13" t="b">
        <f t="shared" si="0"/>
        <v>0</v>
      </c>
      <c r="H17" s="6" t="s">
        <v>256</v>
      </c>
      <c r="I17" s="6">
        <f>COUNTIF(C2:C211, H17)</f>
        <v>18</v>
      </c>
      <c r="J17" s="6">
        <f>COUNTIFS(C2:C211, H17, F2:F211, TRUE)</f>
        <v>2</v>
      </c>
      <c r="K17" s="4">
        <f t="shared" si="4"/>
        <v>0.1111111111111111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23" t="s">
        <v>76</v>
      </c>
      <c r="E18" s="1" t="s">
        <v>80</v>
      </c>
      <c r="F18" s="13" t="b">
        <f t="shared" si="0"/>
        <v>0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23" t="s">
        <v>77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23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23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3</v>
      </c>
      <c r="K21" s="10">
        <f>J21/I11</f>
        <v>0.1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23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23" t="s">
        <v>82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2</v>
      </c>
      <c r="K23" s="10">
        <f>J23/I9</f>
        <v>6.6666666666666666E-2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23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23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2</v>
      </c>
      <c r="K25" s="10">
        <f>J25/I6</f>
        <v>6.6666666666666666E-2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23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23" t="s">
        <v>76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23" t="s">
        <v>76</v>
      </c>
      <c r="E28" s="1" t="s">
        <v>81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23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23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23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23" t="s">
        <v>80</v>
      </c>
      <c r="E32" s="1" t="s">
        <v>81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1</v>
      </c>
      <c r="K32" s="10">
        <f>J32/I11</f>
        <v>3.3333333333333333E-2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23" t="s">
        <v>77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23" t="s">
        <v>82</v>
      </c>
      <c r="E34" s="1" t="s">
        <v>82</v>
      </c>
      <c r="F34" s="13" t="b">
        <f t="shared" si="0"/>
        <v>1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23" t="s">
        <v>81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23" t="s">
        <v>511</v>
      </c>
      <c r="E36" s="1" t="s">
        <v>81</v>
      </c>
      <c r="F36" s="13" t="b">
        <f t="shared" si="0"/>
        <v>0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23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23" t="s">
        <v>77</v>
      </c>
      <c r="E38" s="1" t="s">
        <v>81</v>
      </c>
      <c r="F38" s="13" t="b">
        <f t="shared" si="0"/>
        <v>0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23" t="s">
        <v>82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23" t="s">
        <v>77</v>
      </c>
      <c r="E40" s="1" t="s">
        <v>252</v>
      </c>
      <c r="F40" s="13" t="b">
        <f t="shared" si="0"/>
        <v>0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23" t="s">
        <v>82</v>
      </c>
      <c r="E41" s="1" t="s">
        <v>252</v>
      </c>
      <c r="F41" s="13" t="b">
        <f t="shared" si="0"/>
        <v>0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23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23" t="s">
        <v>80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23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23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23" t="s">
        <v>79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23" t="s">
        <v>80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23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23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23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23" t="s">
        <v>79</v>
      </c>
      <c r="E51" s="1" t="s">
        <v>79</v>
      </c>
      <c r="F51" s="13" t="b">
        <f t="shared" si="0"/>
        <v>1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23" t="s">
        <v>79</v>
      </c>
      <c r="E52" s="1" t="s">
        <v>80</v>
      </c>
      <c r="F52" s="13" t="b">
        <f t="shared" si="0"/>
        <v>0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23" t="s">
        <v>76</v>
      </c>
      <c r="E53" s="1" t="s">
        <v>77</v>
      </c>
      <c r="F53" s="13" t="b">
        <f t="shared" si="0"/>
        <v>0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23" t="s">
        <v>82</v>
      </c>
      <c r="E54" s="1" t="s">
        <v>82</v>
      </c>
      <c r="F54" s="13" t="b">
        <f t="shared" si="0"/>
        <v>1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23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23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23" t="s">
        <v>77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23" t="s">
        <v>80</v>
      </c>
      <c r="E58" s="1" t="s">
        <v>81</v>
      </c>
      <c r="F58" s="13" t="b">
        <f t="shared" si="0"/>
        <v>0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23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23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23" t="s">
        <v>79</v>
      </c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23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23" t="s">
        <v>77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23" t="s">
        <v>82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23" t="s">
        <v>77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23" t="s">
        <v>80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23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23" t="s">
        <v>82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23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23" t="s">
        <v>81</v>
      </c>
      <c r="E70" s="1" t="s">
        <v>252</v>
      </c>
      <c r="F70" s="13" t="b">
        <f t="shared" si="7"/>
        <v>0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23" t="s">
        <v>79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23" t="s">
        <v>80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23" t="s">
        <v>81</v>
      </c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23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23" t="s">
        <v>82</v>
      </c>
      <c r="E75" s="1" t="s">
        <v>79</v>
      </c>
      <c r="F75" s="13" t="b">
        <f t="shared" si="7"/>
        <v>0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23" t="s">
        <v>76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23" t="s">
        <v>77</v>
      </c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23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23" t="s">
        <v>81</v>
      </c>
      <c r="E79" s="1" t="s">
        <v>82</v>
      </c>
      <c r="F79" s="13" t="b">
        <f t="shared" si="7"/>
        <v>0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23" t="s">
        <v>79</v>
      </c>
      <c r="E80" s="1" t="s">
        <v>81</v>
      </c>
      <c r="F80" s="13" t="b">
        <f t="shared" si="7"/>
        <v>0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23" t="s">
        <v>82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23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23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23" t="s">
        <v>80</v>
      </c>
      <c r="E84" s="1" t="s">
        <v>81</v>
      </c>
      <c r="F84" s="13" t="b">
        <f t="shared" si="7"/>
        <v>0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23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23" t="s">
        <v>77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23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23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23" t="s">
        <v>82</v>
      </c>
      <c r="E89" s="1" t="s">
        <v>82</v>
      </c>
      <c r="F89" s="13" t="b">
        <f t="shared" si="7"/>
        <v>1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23" t="s">
        <v>79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23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23" t="s">
        <v>76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23" t="s">
        <v>81</v>
      </c>
      <c r="E93" s="1" t="s">
        <v>82</v>
      </c>
      <c r="F93" s="13" t="b">
        <f t="shared" si="7"/>
        <v>0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23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23" t="s">
        <v>77</v>
      </c>
      <c r="E95" s="1" t="s">
        <v>80</v>
      </c>
      <c r="F95" s="13" t="b">
        <f t="shared" si="7"/>
        <v>0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23" t="s">
        <v>77</v>
      </c>
      <c r="E96" s="1" t="s">
        <v>79</v>
      </c>
      <c r="F96" s="13" t="b">
        <f t="shared" si="7"/>
        <v>0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23" t="s">
        <v>82</v>
      </c>
      <c r="E97" s="1" t="s">
        <v>77</v>
      </c>
      <c r="F97" s="13" t="b">
        <f t="shared" si="7"/>
        <v>0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23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23" t="s">
        <v>77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23" t="s">
        <v>82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23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23" t="s">
        <v>76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23" t="s">
        <v>82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23" t="s">
        <v>81</v>
      </c>
      <c r="E104" s="1" t="s">
        <v>80</v>
      </c>
      <c r="F104" s="13" t="b">
        <f t="shared" si="7"/>
        <v>0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23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23" t="s">
        <v>77</v>
      </c>
      <c r="E106" s="1" t="s">
        <v>79</v>
      </c>
      <c r="F106" s="13" t="b">
        <f t="shared" si="7"/>
        <v>0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23" t="s">
        <v>82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23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23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23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23" t="s">
        <v>82</v>
      </c>
      <c r="E111" s="1" t="s">
        <v>82</v>
      </c>
      <c r="F111" s="13" t="b">
        <f t="shared" si="7"/>
        <v>1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23" t="s">
        <v>76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23" t="s">
        <v>77</v>
      </c>
      <c r="E113" s="1" t="s">
        <v>81</v>
      </c>
      <c r="F113" s="13" t="b">
        <f t="shared" si="7"/>
        <v>0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23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23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23" t="s">
        <v>81</v>
      </c>
      <c r="E116" s="1" t="s">
        <v>252</v>
      </c>
      <c r="F116" s="13" t="b">
        <f t="shared" si="7"/>
        <v>0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23" t="s">
        <v>76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23" t="s">
        <v>76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23" t="s">
        <v>77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23" t="s">
        <v>81</v>
      </c>
      <c r="E120" s="1" t="s">
        <v>81</v>
      </c>
      <c r="F120" s="13" t="b">
        <f t="shared" si="7"/>
        <v>1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23" t="s">
        <v>81</v>
      </c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23" t="s">
        <v>252</v>
      </c>
      <c r="E122" s="1" t="s">
        <v>79</v>
      </c>
      <c r="F122" s="13" t="b">
        <f t="shared" si="7"/>
        <v>0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23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23" t="s">
        <v>80</v>
      </c>
      <c r="E124" s="1" t="s">
        <v>79</v>
      </c>
      <c r="F124" s="13" t="b">
        <f t="shared" si="7"/>
        <v>0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23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23" t="s">
        <v>81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23" t="s">
        <v>79</v>
      </c>
      <c r="E127" s="1" t="s">
        <v>80</v>
      </c>
      <c r="F127" s="13" t="b">
        <f t="shared" si="7"/>
        <v>0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23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23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23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23" t="s">
        <v>511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23" t="s">
        <v>77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23" t="s">
        <v>79</v>
      </c>
      <c r="E133" s="1" t="s">
        <v>80</v>
      </c>
      <c r="F133" s="13" t="b">
        <f t="shared" si="8"/>
        <v>0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23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23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23" t="s">
        <v>81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23" t="s">
        <v>77</v>
      </c>
      <c r="E137" s="1" t="s">
        <v>81</v>
      </c>
      <c r="F137" s="13" t="b">
        <f t="shared" si="8"/>
        <v>0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23" t="s">
        <v>80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23" t="s">
        <v>82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23" t="s">
        <v>77</v>
      </c>
      <c r="E140" s="1" t="s">
        <v>80</v>
      </c>
      <c r="F140" s="13" t="b">
        <f t="shared" si="8"/>
        <v>0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23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23" t="s">
        <v>80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23" t="s">
        <v>82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23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23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23" t="s">
        <v>82</v>
      </c>
      <c r="E146" s="1" t="s">
        <v>80</v>
      </c>
      <c r="F146" s="13" t="b">
        <f t="shared" si="8"/>
        <v>0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23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23" t="s">
        <v>81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23" t="s">
        <v>80</v>
      </c>
      <c r="E149" s="1" t="s">
        <v>81</v>
      </c>
      <c r="F149" s="13" t="b">
        <f t="shared" si="8"/>
        <v>0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23" t="s">
        <v>77</v>
      </c>
      <c r="E150" s="1" t="s">
        <v>82</v>
      </c>
      <c r="F150" s="13" t="b">
        <f t="shared" si="8"/>
        <v>0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23" t="s">
        <v>77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23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23" t="s">
        <v>79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23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23" t="s">
        <v>81</v>
      </c>
      <c r="E155" s="1" t="s">
        <v>79</v>
      </c>
      <c r="F155" s="13" t="b">
        <f t="shared" si="8"/>
        <v>0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23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23" t="s">
        <v>82</v>
      </c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23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23" t="s">
        <v>82</v>
      </c>
      <c r="E159" s="1" t="s">
        <v>80</v>
      </c>
      <c r="F159" s="13" t="b">
        <f t="shared" si="8"/>
        <v>0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23" t="s">
        <v>82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23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23" t="s">
        <v>77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23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23" t="s">
        <v>80</v>
      </c>
      <c r="E164" s="1" t="s">
        <v>79</v>
      </c>
      <c r="F164" s="13" t="b">
        <f t="shared" si="8"/>
        <v>0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23" t="s">
        <v>79</v>
      </c>
      <c r="E165" s="1" t="s">
        <v>81</v>
      </c>
      <c r="F165" s="13" t="b">
        <f t="shared" si="8"/>
        <v>0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23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23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23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23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23" t="s">
        <v>82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23" t="s">
        <v>81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23" t="s">
        <v>79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23" t="s">
        <v>76</v>
      </c>
      <c r="E173" s="1" t="s">
        <v>81</v>
      </c>
      <c r="F173" s="13" t="b">
        <f t="shared" si="8"/>
        <v>0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23" t="s">
        <v>80</v>
      </c>
      <c r="E174" s="1" t="s">
        <v>81</v>
      </c>
      <c r="F174" s="13" t="b">
        <f t="shared" si="8"/>
        <v>0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23" t="s">
        <v>77</v>
      </c>
      <c r="E175" s="1" t="s">
        <v>80</v>
      </c>
      <c r="F175" s="13" t="b">
        <f t="shared" si="8"/>
        <v>0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23" t="s">
        <v>76</v>
      </c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23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23" t="s">
        <v>82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23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23" t="s">
        <v>76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23" t="s">
        <v>82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23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23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23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23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23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23" t="s">
        <v>80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23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23" t="s">
        <v>77</v>
      </c>
      <c r="E189" s="1" t="s">
        <v>76</v>
      </c>
      <c r="F189" s="13" t="b">
        <f t="shared" si="8"/>
        <v>0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23" t="s">
        <v>82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23" t="s">
        <v>79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23" t="s">
        <v>77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23" t="s">
        <v>82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23" t="s">
        <v>80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23" t="s">
        <v>80</v>
      </c>
      <c r="E195" s="1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23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23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23" t="s">
        <v>82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23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23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23" t="s">
        <v>79</v>
      </c>
      <c r="E201" s="1" t="s">
        <v>76</v>
      </c>
      <c r="F201" s="13" t="b">
        <f t="shared" si="9"/>
        <v>0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23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23" t="s">
        <v>82</v>
      </c>
      <c r="E203" s="1" t="s">
        <v>82</v>
      </c>
      <c r="F203" s="13" t="b">
        <f t="shared" si="9"/>
        <v>1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23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23" t="s">
        <v>82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23" t="s">
        <v>76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23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23" t="s">
        <v>82</v>
      </c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23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23" t="s">
        <v>77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23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2025-03-24T20:01:50Z</dcterms:modified>
</cp:coreProperties>
</file>