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Dell\Desktop\Emad\Uni\Junior\ADD Tests\File Prompt\"/>
    </mc:Choice>
  </mc:AlternateContent>
  <xr:revisionPtr revIDLastSave="0" documentId="13_ncr:1_{8383ACB1-5BAA-42F9-B163-C6B4C3262F63}" xr6:coauthVersionLast="47" xr6:coauthVersionMax="47" xr10:uidLastSave="{00000000-0000-0000-0000-000000000000}"/>
  <bookViews>
    <workbookView xWindow="-108" yWindow="-108" windowWidth="23256" windowHeight="12576" activeTab="1" xr2:uid="{FC999803-2A9F-4EE0-B8AA-1B0E945C7694}"/>
  </bookViews>
  <sheets>
    <sheet name="Trial3" sheetId="3" r:id="rId1"/>
    <sheet name="Sheet1" sheetId="5" r:id="rId2"/>
    <sheet name="Net" sheetId="4" state="hidden" r:id="rId3"/>
  </sheets>
  <definedNames>
    <definedName name="_xlnm._FilterDatabase" localSheetId="2" hidden="1">Net!$F$1:$F$210</definedName>
    <definedName name="_xlnm._FilterDatabase" localSheetId="0" hidden="1">Trial3!$E$1:$E$211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16" i="3" l="1"/>
  <c r="J8"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C2"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J22" i="3"/>
  <c r="J23" i="3"/>
  <c r="J24" i="3"/>
  <c r="J25" i="3"/>
  <c r="J26" i="3"/>
  <c r="J27" i="3"/>
  <c r="J28" i="3"/>
  <c r="J29" i="3"/>
  <c r="J30" i="3"/>
  <c r="J31" i="3"/>
  <c r="J32" i="3"/>
  <c r="J21" i="3"/>
  <c r="J12" i="3"/>
  <c r="J11" i="3"/>
  <c r="J10" i="3"/>
  <c r="J9" i="3"/>
  <c r="J7" i="3"/>
  <c r="J6" i="3"/>
  <c r="I12" i="3"/>
  <c r="I11" i="3"/>
  <c r="I10" i="3"/>
  <c r="I9" i="3"/>
  <c r="I8" i="3"/>
  <c r="I6" i="3"/>
  <c r="I7" i="3"/>
  <c r="C3" i="3"/>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7" i="3" a="1"/>
  <c r="C217" i="3" s="1"/>
  <c r="C218" i="3" a="1"/>
  <c r="C218" i="3" s="1"/>
  <c r="C219" i="3" a="1"/>
  <c r="C219" i="3" s="1"/>
  <c r="C220" i="3" a="1"/>
  <c r="C220" i="3" s="1"/>
  <c r="C4" i="3" a="1"/>
  <c r="C4" i="3" s="1"/>
  <c r="C5" i="3" a="1"/>
  <c r="C5" i="3" s="1"/>
  <c r="C6" i="3" a="1"/>
  <c r="C6" i="3" s="1"/>
  <c r="C7" i="3" a="1"/>
  <c r="C7" i="3" s="1"/>
  <c r="C8" i="3" a="1"/>
  <c r="C8" i="3" s="1"/>
  <c r="C9" i="3" a="1"/>
  <c r="C9" i="3" s="1"/>
  <c r="C10" i="3" a="1"/>
  <c r="C10" i="3" s="1"/>
  <c r="F3" i="3"/>
  <c r="F4" i="3"/>
  <c r="F5" i="3"/>
  <c r="F6" i="3"/>
  <c r="F7" i="3"/>
  <c r="F2" i="3"/>
  <c r="I2" i="3" s="1"/>
  <c r="K10" i="4"/>
  <c r="K6" i="4"/>
  <c r="J7" i="4"/>
  <c r="J8" i="4"/>
  <c r="J9" i="4"/>
  <c r="J10" i="4"/>
  <c r="J11" i="4"/>
  <c r="J12" i="4"/>
  <c r="L31" i="4" s="1"/>
  <c r="J6" i="4"/>
  <c r="K29" i="4"/>
  <c r="K30" i="4"/>
  <c r="L30" i="4" s="1"/>
  <c r="K31" i="4"/>
  <c r="K32" i="4"/>
  <c r="L32" i="4" s="1"/>
  <c r="K28" i="4"/>
  <c r="K27" i="4"/>
  <c r="K22" i="4"/>
  <c r="K26" i="4"/>
  <c r="K23" i="4"/>
  <c r="L23" i="4" s="1"/>
  <c r="K24" i="4"/>
  <c r="K25" i="4"/>
  <c r="K21" i="4"/>
  <c r="L21" i="4" s="1"/>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K7" i="4"/>
  <c r="K8" i="4"/>
  <c r="K9" i="4"/>
  <c r="K11" i="4"/>
  <c r="K12" i="4"/>
  <c r="I2"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K15" i="4" l="1"/>
  <c r="L28" i="4"/>
  <c r="J16" i="3"/>
  <c r="J15" i="3"/>
  <c r="I17" i="3"/>
  <c r="J17" i="3"/>
  <c r="I15" i="3"/>
  <c r="I16" i="3"/>
  <c r="J2" i="3"/>
  <c r="K23" i="3"/>
  <c r="K31" i="3"/>
  <c r="K24" i="3"/>
  <c r="K32" i="3"/>
  <c r="K25" i="3"/>
  <c r="K26" i="3"/>
  <c r="K27" i="3"/>
  <c r="K8" i="3"/>
  <c r="K28" i="3"/>
  <c r="K21" i="3"/>
  <c r="K29" i="3"/>
  <c r="K22" i="3"/>
  <c r="K30" i="3"/>
  <c r="L26" i="4"/>
  <c r="J17" i="4"/>
  <c r="K16" i="4"/>
  <c r="L29" i="4"/>
  <c r="J2" i="4"/>
  <c r="K2" i="4" s="1"/>
  <c r="K17" i="4"/>
  <c r="L24" i="4"/>
  <c r="J15" i="4"/>
  <c r="L15" i="4" s="1"/>
  <c r="J16" i="4"/>
  <c r="L25" i="4"/>
  <c r="L27" i="4"/>
  <c r="L22" i="4"/>
  <c r="L9" i="4"/>
  <c r="K7" i="3"/>
  <c r="L12" i="4"/>
  <c r="L6" i="4"/>
  <c r="L10" i="4"/>
  <c r="L11" i="4"/>
  <c r="L8" i="4"/>
  <c r="L7" i="4"/>
  <c r="K6" i="3"/>
  <c r="K12" i="3"/>
  <c r="K9" i="3"/>
  <c r="K10" i="3"/>
  <c r="K11" i="3"/>
  <c r="L16" i="4" l="1"/>
  <c r="K15" i="3"/>
  <c r="K17" i="3"/>
  <c r="K16" i="3"/>
  <c r="L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<sst xmlns="http://schemas.openxmlformats.org/spreadsheetml/2006/main" count="2238" uniqueCount="760">
  <si>
    <t>Category</t>
  </si>
  <si>
    <t>Correct Answer</t>
  </si>
  <si>
    <t>AI Answer</t>
  </si>
  <si>
    <t>True / False</t>
  </si>
  <si>
    <t>هذا مودالنا جديد. سميناه كمبيوتر الحلم.</t>
  </si>
  <si>
    <t>زين. حجزك تاكد.</t>
  </si>
  <si>
    <t>من الصبح.</t>
  </si>
  <si>
    <t>هذا الحجم، رجاءا.</t>
  </si>
  <si>
    <t>من البيحه.</t>
  </si>
  <si>
    <t>بغيتي تبدل هاد العدسات بشي وحدين قصاح؟</t>
  </si>
  <si>
    <t>شاهي مع ليمون، لو سمحت.</t>
  </si>
  <si>
    <t>هل يمكنني أن أكل كل حبة الفاكهة هذه ؟</t>
  </si>
  <si>
    <t>انت اسكتلندي؟</t>
  </si>
  <si>
    <t>يصير ادفع بجيكات سياحية؟</t>
  </si>
  <si>
    <t>عليك أن تحجز مقدما .</t>
  </si>
  <si>
    <t>اشعر بالتعب الشديد . من فضلك استدع طبيباً .</t>
  </si>
  <si>
    <t>هذا كان هو؟</t>
  </si>
  <si>
    <t>مسجل ، من فضلك .</t>
  </si>
  <si>
    <t>وين بقدر أطلع بباص بيلف بالمدينة؟</t>
  </si>
  <si>
    <t>أبا عطر.</t>
  </si>
  <si>
    <t>أي رسوم بيتضمن؟</t>
  </si>
  <si>
    <t>واش هاد القطار كايتوقف فبالتيمور؟</t>
  </si>
  <si>
    <t>رجاءا اكتب عنوانك هوني.</t>
  </si>
  <si>
    <t>السيارة بتطلع اصوات غريبة.</t>
  </si>
  <si>
    <t>شا اتصل ب واحد.</t>
  </si>
  <si>
    <t>علطول، إذا سمحت .</t>
  </si>
  <si>
    <t>دير بالك، السقف قصير.</t>
  </si>
  <si>
    <t>مستبعد جدا .</t>
  </si>
  <si>
    <t>ممكن جدول زمني، لو سمحت؟</t>
  </si>
  <si>
    <t>بتمنى تحب اللون و الموديل .</t>
  </si>
  <si>
    <t>لا أريد شيئاً آخر ، من فضلك .</t>
  </si>
  <si>
    <t>تركت شنطتي بشي مطرح.</t>
  </si>
  <si>
    <t>لكن التكلفة تزداد , أليس كذلك ؟</t>
  </si>
  <si>
    <t>هذي فيزا والرقم هو أربعا تسعا صفر ثمانيا واحد خمسا واحد ثنين تلاثا ستا سبعا سبعا ستا صفر صفر أربعا.</t>
  </si>
  <si>
    <t>مشكور ما قصرت. انا وسيد كوقوري مستانسين ان جينا لندن عشان نجتمع معاك وانت واحد من أهم شركائنا.</t>
  </si>
  <si>
    <t>هل يمكنك أن تقوم بضبطها الآن ؟</t>
  </si>
  <si>
    <t>اي، بعض الغرف تطل على الحديقة، بس يكلفون اكثر.</t>
  </si>
  <si>
    <t>هاي الغرفة كولش صغيره.</t>
  </si>
  <si>
    <t>ممكن اشوف السيارة؟</t>
  </si>
  <si>
    <t>معدتي مقلوبة.</t>
  </si>
  <si>
    <t>عمر هاد الورقة عافاك. فين خاصنا نديوه منين نردوه؟</t>
  </si>
  <si>
    <t>ينعن. ينعن. ينعن. ينعن. تعودت ع وجها.</t>
  </si>
  <si>
    <t>اشتي العب تنس.</t>
  </si>
  <si>
    <t>ذيك عيوقع كاش والا رسوم؟</t>
  </si>
  <si>
    <t>في واحد خبط فيا. وبعديها ملقتش محفظتي.</t>
  </si>
  <si>
    <t>داير احصل على تأمين.</t>
  </si>
  <si>
    <t>اكو اي ليموزين؟</t>
  </si>
  <si>
    <t>عندك حاجة ما أطول شوية؟</t>
  </si>
  <si>
    <t>البرفان دة بكام؟</t>
  </si>
  <si>
    <t>يا اما تصلحه ولا تبدله، لوسمحت.</t>
  </si>
  <si>
    <t>بأثر شي اذا دقيتلك بعدين؟</t>
  </si>
  <si>
    <t>على الساحل الشرقي، حتلاقي كمان أماكن مشهورة، زي نيويورك، وواشنطن دي سي وبوسطن.</t>
  </si>
  <si>
    <t>ازاي أرجع؟</t>
  </si>
  <si>
    <t>كم من الوقت يبغاله من هنا إلى سيتي هول مشي على الأقدام؟</t>
  </si>
  <si>
    <t>أيمكنني أن أبقى ثلاث ليالٍ ؟</t>
  </si>
  <si>
    <t>بينتسائل أيش أشل منه؟</t>
  </si>
  <si>
    <t>مافي ادوات مكتبية.</t>
  </si>
  <si>
    <t>حابب أعمل إتصال لبرات البلد عاليابان . عمول معروف . معك يوكي موراي بالأوضة تلاتة تنعش . بدي أعمل إتصال عحساب الإستاذ كيسوكي موراي. رقم التلفون هوي طوكيو صفر تلاتة تلاتة سبعة تنين ستة تمانة تلاتة تسعة واحد .</t>
  </si>
  <si>
    <t>الثنية طويلة؟</t>
  </si>
  <si>
    <t>القهوة مع كريم والسكر، من فضلك.</t>
  </si>
  <si>
    <t>ولدت في واحد ابريل سنة الف وتسعمية وخمسة وتسعين.</t>
  </si>
  <si>
    <t>عايز الهدوم دى تتكوى.</t>
  </si>
  <si>
    <t>في اكبر؟</t>
  </si>
  <si>
    <t>علاش غالي برشة البوكسار هذا؟</t>
  </si>
  <si>
    <t>باش نسافر من اما مطار؟</t>
  </si>
  <si>
    <t>مرجوج، مش مضروب.</t>
  </si>
  <si>
    <t>طلع حاجاتي الغالية، لو سمحت.</t>
  </si>
  <si>
    <t>هل يمكن أن أترك هذه العربة خارج الردهة ؟</t>
  </si>
  <si>
    <t>ممكن تحولي اياهم لدولارات، لو سمحت؟</t>
  </si>
  <si>
    <t>ليش أجرتك غير الذي في العداد؟</t>
  </si>
  <si>
    <t>مية دولار كاش، وثلاثمية دولار بجيكاتي السياحية والكردت كارد.</t>
  </si>
  <si>
    <t>ممكن تعطينا مزاز، لو سمحت؟</t>
  </si>
  <si>
    <t>هل اكو مطعم اغخص قغيب هوني؟</t>
  </si>
  <si>
    <t>نعم . هم كذلك .</t>
  </si>
  <si>
    <t>Sentence</t>
  </si>
  <si>
    <t>Index</t>
  </si>
  <si>
    <t>MSA</t>
  </si>
  <si>
    <t>GULF</t>
  </si>
  <si>
    <t>NOR-AFR</t>
  </si>
  <si>
    <t>LEV</t>
  </si>
  <si>
    <t>IRAQ</t>
  </si>
  <si>
    <t>NILE</t>
  </si>
  <si>
    <t>YEM</t>
  </si>
  <si>
    <t>Percentage</t>
  </si>
  <si>
    <t>بعد إزنك، من وين بروحو عأكاساكا؟</t>
  </si>
  <si>
    <t>ضروري اجي للمستشفى يوميه؟</t>
  </si>
  <si>
    <t>أعتقد إنت المفروض تقدر تجيب كل الحاجات من السوبر ماركت. لو ماقدرتش، متقلقش. أنا هاروح الصيدلية بكرة.</t>
  </si>
  <si>
    <t>سيارتي اتعطلت، لو سمحت تعال و خذها.</t>
  </si>
  <si>
    <t>بس كنت ابغي أأكد ان رئيس مجلس الإدارة لشركتكم بيحضر الاجتماع بكرة.</t>
  </si>
  <si>
    <t>نعم، سيد تانكا. اكو رسالتين الك.</t>
  </si>
  <si>
    <t>مناسب على بدلتك.</t>
  </si>
  <si>
    <t>كلا . إني ياباني .</t>
  </si>
  <si>
    <t>ما عندي اي فلوس.</t>
  </si>
  <si>
    <t>غادي ناخد الرحلة طناش لطوكيو.</t>
  </si>
  <si>
    <t>اصعد السلم ثم اتجه يميناً . إنه على يسارك .</t>
  </si>
  <si>
    <t>اود أن العب التنس.</t>
  </si>
  <si>
    <t>عندك اطباق قليلة بالسعرات؟ انا ماشي على حمية، دحين.</t>
  </si>
  <si>
    <t>كيف بدك البيض؟</t>
  </si>
  <si>
    <t>هذا القطار عيسير طوالي ل أدنبرة؟</t>
  </si>
  <si>
    <t>كم سعر المشروم الطازج؟</t>
  </si>
  <si>
    <t>كود المنطقة صفرتلاثة. الرقم تلاثة واحد اثنين تلاثة اربعة خمسة ستة سبعة.</t>
  </si>
  <si>
    <t>وتوا، ويني فاليجتي؟ أوه، هاي وصلت.</t>
  </si>
  <si>
    <t>ما كان يجب أن يكون كثيراً هكذا .</t>
  </si>
  <si>
    <t>الملابس الطويلة هي الموضة الآن .</t>
  </si>
  <si>
    <t>عايز لمعة احذية .</t>
  </si>
  <si>
    <t>أين هو أقرب جزار؟</t>
  </si>
  <si>
    <t>مسامحة بس في غلط في الفاتورة.</t>
  </si>
  <si>
    <t>من فضلك غادر الفندق قبل التاسعة .</t>
  </si>
  <si>
    <t>بمجرد النظر إليها تبدو وكأنك قد التقطت بعض العدوى منها .</t>
  </si>
  <si>
    <t>انته تروح للمدرية هنا؟</t>
  </si>
  <si>
    <t>عادي استخدم ملعب التنس؟</t>
  </si>
  <si>
    <t>لقد كانت المزارات في اليونان تاريخية .</t>
  </si>
  <si>
    <t>ناس قليلين اللي هايكونوا في الجولة الاختياري.</t>
  </si>
  <si>
    <t>علبة موسيقى .</t>
  </si>
  <si>
    <t>ما هو الأفضل ؟</t>
  </si>
  <si>
    <t>عمبتسأل سعر شو هيدا على فاتورتي .</t>
  </si>
  <si>
    <t>كل واحد فينا يفضل يخلص ماكلته بروحه.</t>
  </si>
  <si>
    <t>ممكن ناخد أوضة على البحر؟</t>
  </si>
  <si>
    <t>راني حاب حقيبة ماكياج.</t>
  </si>
  <si>
    <t>ماعنديش موعد، بلحاق الحالة مستعجلة.</t>
  </si>
  <si>
    <t>داير أرسله بالبريد البري او البحري.</t>
  </si>
  <si>
    <t>رح أوصل حوالي الساعة تسعة المسا.</t>
  </si>
  <si>
    <t>هل اكو اي جوله صباحيي؟</t>
  </si>
  <si>
    <t>بس عشان هديه تذكارية . انت عارف، ماعندناش النوع ده من التاكسيات في اليابان .</t>
  </si>
  <si>
    <t>عندك تعريفات في الجمعة.</t>
  </si>
  <si>
    <t>سبعه، لو سمحت.</t>
  </si>
  <si>
    <t>كعكة بالتوت للتحلية، وقهوة، عافاك.</t>
  </si>
  <si>
    <t>اطيق احجز اجر-سيارة هوني؟</t>
  </si>
  <si>
    <t>عبي إستمارة التسجيل هذه، لوسمحت.</t>
  </si>
  <si>
    <t>طلبي ما وصل .</t>
  </si>
  <si>
    <t>به هانا اي بقعه يقبلو الغسيل ايام الاحد؟</t>
  </si>
  <si>
    <t>من الأحسن تطلع ف التران تمنيا تلاتين .</t>
  </si>
  <si>
    <t>بتقبل أنهى كريديت كاردس؟</t>
  </si>
  <si>
    <t>ما اقدر اشوف الشاشة بوضوح من هنا. اقدر اغير مقعدي لفترة؟</t>
  </si>
  <si>
    <t>اكيد، اخذ وقتك.</t>
  </si>
  <si>
    <t>عايزاه بنعل كويس و كعب عالي، من فضلك .</t>
  </si>
  <si>
    <t>فعلياً، عندي أخبار. أنا تزوجت.</t>
  </si>
  <si>
    <t>وين بقدر لائي محل ساعات؟</t>
  </si>
  <si>
    <t>عفوا. عيوقعين جاهزات في حوالي خمس دقايق.</t>
  </si>
  <si>
    <t>ارجى دقيقة، لو سمحت.</t>
  </si>
  <si>
    <t>قهوه مع كريمة و سكر، لوسمحت.</t>
  </si>
  <si>
    <t>ده غالي جداً.</t>
  </si>
  <si>
    <t>اشتي ااكد هذا.</t>
  </si>
  <si>
    <t>ابغى كوب من القهوة البيضاء، لو سمحت.</t>
  </si>
  <si>
    <t>اكدر احصلها مشروحة اكثر بالتفاصيل؟</t>
  </si>
  <si>
    <t>هل هذا هو كل شيء متضمن في الفاتورة ؟</t>
  </si>
  <si>
    <t>فقط إذا كانت ملكك ، سيدي . هاها ، مزحة صغيرة .</t>
  </si>
  <si>
    <t>أنا متأكد المجرم قريب.</t>
  </si>
  <si>
    <t>صاحبي مريض برشا. تنجم تكلم طبيب، يعيشك؟</t>
  </si>
  <si>
    <t>ايوه، كل اللي انت محتاجله شامبو و سيشوار .</t>
  </si>
  <si>
    <t>الشي الجنت ادور عليه.</t>
  </si>
  <si>
    <t>اه. اكدر اكل وجبتي بعدين؟ احس نفسي متخربط هسه.</t>
  </si>
  <si>
    <t>أوه، ها هو. وهل لازم كل شخض يملا استمارة البيان الجمركي هذه؟</t>
  </si>
  <si>
    <t>وين الأصانصير؟</t>
  </si>
  <si>
    <t>واخا، خليني نفكر. بزاف عليا.</t>
  </si>
  <si>
    <t>بدي تطولي كمام جاكيت الرياضة هاد.</t>
  </si>
  <si>
    <t>محب للفنون الجديدة زي نفسك ربما من المحتمل يستمتع بلوحات الهيبيش و مشهد موسيقي الشارع.</t>
  </si>
  <si>
    <t>انا طحت بالنشلة.</t>
  </si>
  <si>
    <t>هل لك أن تزكي لي مطعما جيدا ؟</t>
  </si>
  <si>
    <t>معي واحدة صغيرة نفس الموديل.</t>
  </si>
  <si>
    <t>البيتزه طيبي، منو عملا؟</t>
  </si>
  <si>
    <t>الجودة ممتازة، والصفقة زينة.</t>
  </si>
  <si>
    <t>عندك بطاريات للكاميرا دي؟</t>
  </si>
  <si>
    <t>لذلك ارغب في استبدالها ؟</t>
  </si>
  <si>
    <t>أجري .</t>
  </si>
  <si>
    <t>لو سمحت، احكيلي عن شوية شوارع كويسة للتسوق.</t>
  </si>
  <si>
    <t>هى كاميرا الاغلام التمانيه مللي ديه هديه؟</t>
  </si>
  <si>
    <t>ممكن احصل مخابرة تكعدني بالخمسة ونص باجر الصبح؟</t>
  </si>
  <si>
    <t>كفي دغري و بروم عالشمال هونيك.</t>
  </si>
  <si>
    <t>لو سمحت املي بطاقة الهبوط هذي واستمارة الجمارك.</t>
  </si>
  <si>
    <t>ما عندي وقت.</t>
  </si>
  <si>
    <t>عايز قهوة كمان؟</t>
  </si>
  <si>
    <t>احنا نفتح الساعه تسع في الصبح.</t>
  </si>
  <si>
    <t>شنو نوع الشنطة؟</t>
  </si>
  <si>
    <t>في اكل في الجولة؟</t>
  </si>
  <si>
    <t>وجع بشع.</t>
  </si>
  <si>
    <t>تقدر تتهجاه ليا؟</t>
  </si>
  <si>
    <t>بدي شوية مقانق، عمول معروف .</t>
  </si>
  <si>
    <t>فقدت استخدام يدي اليمنى.</t>
  </si>
  <si>
    <t>ماذا عن القمة ؟ هل انقص بعضاً من القمة ؟</t>
  </si>
  <si>
    <t>نظن بلي رائع.</t>
  </si>
  <si>
    <t>تبعد حوالي تسعه وتسعين ميل.</t>
  </si>
  <si>
    <t>أطرح الزلط في ظرف مميز مزين يسموه شوجيبوكورو.</t>
  </si>
  <si>
    <t>لو سمحت ألغي رقم البطاقه حقي.</t>
  </si>
  <si>
    <t>لازم اروح على بنك ياباني؟</t>
  </si>
  <si>
    <t>مسا الخير. عندك طاولة فاضية حق اثنين؟</t>
  </si>
  <si>
    <t>وين مستودع الباصات الكريهاوند بهالمدينه؟</t>
  </si>
  <si>
    <t>عنا شراب روزي ممتاز.</t>
  </si>
  <si>
    <t>اشنو الاختلاف بين هذولي الفنادق؟</t>
  </si>
  <si>
    <t>إذا بتريد عمال تقرير سرقة .</t>
  </si>
  <si>
    <t>اريد كتاب تلوين.</t>
  </si>
  <si>
    <t>بغيتك تنقصلي إنش واحد من هنا.</t>
  </si>
  <si>
    <t>أنا مرضان.</t>
  </si>
  <si>
    <t>اعتقد اننا فلت حقي الكاميرا لما تعشيت هانا امس.</t>
  </si>
  <si>
    <t>عندي تلات شنطات .</t>
  </si>
  <si>
    <t>كيف تستخدمه ؟</t>
  </si>
  <si>
    <t>ما هو نوع الصوص؟</t>
  </si>
  <si>
    <t>نعم ، بإمكانك . هون عليك .</t>
  </si>
  <si>
    <t>بتقدر تبدل كرسيك معي، لو سمحت؟</t>
  </si>
  <si>
    <t>كان عندي جواز سفروبطاقة ائتمان فحقيبتي.</t>
  </si>
  <si>
    <t>أتوبيس؟ أفتكر أنت تقصد ليموزين يوصلك الفندق. أنت رايح أنهى فندق؟</t>
  </si>
  <si>
    <t>نسيت مفتاح الغرفة داخلها. ممكن تعطيني نسخة من المفتاح، لو سمحت؟</t>
  </si>
  <si>
    <t>لا، شكرا. احسنلي ما اشرب بعد.</t>
  </si>
  <si>
    <t>برا.</t>
  </si>
  <si>
    <t>ضيعت باسبوري، نحب واحد جديد.</t>
  </si>
  <si>
    <t>ممكن ترسل تاكسي للمدخل الرئيسي حق ويستمينستر مول؟</t>
  </si>
  <si>
    <t>ما شعورك ؟ لقد صنعت في سويسرا وهي موضة هنا .</t>
  </si>
  <si>
    <t>ممكن لو سمحت تعبي هذا؟</t>
  </si>
  <si>
    <t>إعادة تأكيد رحلتي.</t>
  </si>
  <si>
    <t>هل يمكن إصلاح هذا؟</t>
  </si>
  <si>
    <t>أه، أنا عاوز أشوف المعالم السياحية للمدينة.</t>
  </si>
  <si>
    <t>انت جعان؟</t>
  </si>
  <si>
    <t>أنا متأسف أما لوتيل معبي.</t>
  </si>
  <si>
    <t>علي أن أقول وداعاً .</t>
  </si>
  <si>
    <t>لنذهب مرة أخرى .</t>
  </si>
  <si>
    <t>مستر كاواي، في تربيزة لحضرتك دلوقتي. تعالى من هنا، لو سمحت.</t>
  </si>
  <si>
    <t>عطيني جوج تذاكر الدرجة الثانية لشيكاغو، عافاك؟</t>
  </si>
  <si>
    <t>حالة الجو متقلبة . من فضلكم اربطوا أحزمة مقاعدكم .</t>
  </si>
  <si>
    <t>مخيرا. الله يحفداك.</t>
  </si>
  <si>
    <t>هل يمكن أن تخلي المنضدة لي ، من فضلك .</t>
  </si>
  <si>
    <t>النسمة الكلية لليابان حوالي مية تلاثين مليون.</t>
  </si>
  <si>
    <t>رجاءا ارسلي شخص للاعلى علمود جنطيي ساعه ستي ونص.</t>
  </si>
  <si>
    <t>هالإيام عم ينتشر كتير حالات رشح.</t>
  </si>
  <si>
    <t>Abs Index</t>
  </si>
  <si>
    <t>Rel Index</t>
  </si>
  <si>
    <t>Net Sentences</t>
  </si>
  <si>
    <t>Net Answers</t>
  </si>
  <si>
    <t>Net Percentage</t>
  </si>
  <si>
    <t>Statistics</t>
  </si>
  <si>
    <t>Sentences</t>
  </si>
  <si>
    <t>Answers</t>
  </si>
  <si>
    <t>Length</t>
  </si>
  <si>
    <t>0 - 25</t>
  </si>
  <si>
    <t>26 - 50</t>
  </si>
  <si>
    <t>&gt; 50</t>
  </si>
  <si>
    <t>Sentence Length</t>
  </si>
  <si>
    <t>YEMEN</t>
  </si>
  <si>
    <t>Times</t>
  </si>
  <si>
    <t>Common Mistakes</t>
  </si>
  <si>
    <t>Mistaked (Correct)</t>
  </si>
  <si>
    <t>For (Wrong)</t>
  </si>
  <si>
    <t>Percentage of Category</t>
  </si>
  <si>
    <t>NA</t>
  </si>
  <si>
    <t>Long</t>
  </si>
  <si>
    <t>Medium</t>
  </si>
  <si>
    <t>Short</t>
  </si>
  <si>
    <t>Predicted Label</t>
  </si>
  <si>
    <t>True Label</t>
  </si>
  <si>
    <t>text</t>
  </si>
  <si>
    <t>متفق معاك عل الأقل يتبرا منها ويحفظ ما بقي لهم من ماء الوجه</t>
  </si>
  <si>
    <t>شهادتى فيكم مجروحه بس كل الي أقوله كفيتوا وفيتوا وبيضتوها وخليتوا المنافسه على غيركم وايد صعبه كل التوفيق وبانتظار الجديد المتميز</t>
  </si>
  <si>
    <t>حسب غورو السيد يامادا عنده زوز صغار</t>
  </si>
  <si>
    <t>سوال يحيرني لذين يقولون حارق قلوبهم وش سوا شي يرفع الراس حتي الناس تغار منه او تحسده غير سواد الوجه ولابد فى جده يحشوه حش ان راح لرياض</t>
  </si>
  <si>
    <t>بالمناسبة سميتي هيروشي إيجيما</t>
  </si>
  <si>
    <t>اذا كان عميل ميز وله ارصده مستمرة وحاصل على تمويلات بعفيه من هال٣٠ او ال٥٠ دولار</t>
  </si>
  <si>
    <t>عندك تلاتة ناقات في الخرج وعامل فيها سياسي اخد ليك كم خروج وعودة ومكن تحنس الكفيل يخليك ترجع وتطور نفسك من الفكر الدوغمائي دا</t>
  </si>
  <si>
    <t>هي بتكلم صح نحبه لدرجة العبادة ونفديه بارواحنا عارف ليه عشان خلصنا من ناس ميفرقوش عنكم خونة بيتاجروا بالبلد باسم الدين ربنا يخليه لنا ويكفينا شركم</t>
  </si>
  <si>
    <t>حاجة عادية صار ثنائي هذا يحكون افضل ثنائي في سنوات جاية</t>
  </si>
  <si>
    <t>ﺍﻧﺎ ﺑﺘﺤﺪﻯ ﺍﻟﺰﻣﻦ ﺍﻟﺠﺎﻳﺮ ﻟﻮ ﻓﻲ ﺑﻌﺪﻙ ﻳﺘﺤﺪﺍﻧﻲ لامن ﺳﺤﺎﺑﺔ ﺗﻼﻗﻲ ﺳﺤﺎﺑﺔ ﻭﺗﻨﺰﻝ ﻣﻨﻬﺎ ﺩﻣﻌﺔ ﻋﺸﺎﻧﻲ</t>
  </si>
  <si>
    <t>الاسد ما يهمه اذا قرد فوك الشجره يحجي عليه</t>
  </si>
  <si>
    <t>بس ساترهم لو نايم على خوانيكهم اخي ابو هدله روح ترجم هاي الكلمه فنك تعرفها</t>
  </si>
  <si>
    <t>بدا عركة</t>
  </si>
  <si>
    <t>رساله شفهيه لهاشمي مذيع المستقله اقوله ابوي صباح وزع منحه الف وتموين سنه قلبتواعلى حكامكم وصرتوا تضربون فيه المثل يالساقط من حر ما بيوفك</t>
  </si>
  <si>
    <t>أحمد بن عبد الجواد السفطي أحمد بن عبد الجواد السفطي هو فقيه شافعي مصري هو أحمد بن عبد الجواد الشافعي السفطي وشهرته الشيخ أحمد الصائم ولد في قرية سفط العرفاء من نواحى الفشن تولى مشيخة الأزهر خلفا لحسن القويسني توفي سنة ودفن بقرافة المجاورين</t>
  </si>
  <si>
    <t>هالبنت من زمان ما عدها ذوق السمج مقدس وخط بجميع الألوان</t>
  </si>
  <si>
    <t>ان شاء اله يزيد ونفرحو بيك ربي يرزقك على حساب قلبك الطيب يارب نموت عليك</t>
  </si>
  <si>
    <t>فرحت ياسر بالي ربي هداه حزنت ياسر خاطرماكش سقسيت روحي وين كنت في لابﻳريود أدي كامل مع الخدامة الي معايا واحد ما هدرت له على الإسلام</t>
  </si>
  <si>
    <t>لسه مع سنار شوف وأسمع الإبداع وقارن بين درة الدورات والدوره المدرسيه الفات دى على الرغم من أنو كاشا</t>
  </si>
  <si>
    <t>عسى يحسوا بعض الناس انه اسمي يليق علي شكرا عيسى انت الخير واله</t>
  </si>
  <si>
    <t>شمال شرق غرب جنوب قالوا من يحب يتوه وشلون اتوه وانت جهاتي الأربعه</t>
  </si>
  <si>
    <t>تسلم يا محمد كلك ذوق</t>
  </si>
  <si>
    <t>هذا مش كلامك هذا كلام الجن الى لابسك من وين جاتك انت الرومانسية كان مش جن رومانسى لابسك والعياذ باله</t>
  </si>
  <si>
    <t>هل يمكن أن أخذ بعض المياه المعدنية</t>
  </si>
  <si>
    <t>كمواطن مصري ارجوا توحيد الهاشتاجات ياجماعه مش كده ابدا كل واحد بيدخل بهاشتاج هو مقصود بقي ان الهاشتاج مايوصلش ترند ولا ايه لو عاجبك هاشتاج حط الاتنين او التلاته سوي تحدوا الان تحت هاشتاج لالفوضي احنامليونسيسي</t>
  </si>
  <si>
    <t>عطني حسابهم تلجرام اذا مكن</t>
  </si>
  <si>
    <t>قبل ماتأمرو بفتح المدارس راجعتهو زرتوا المباني شفتو النواقص جهزتو المعلمين الجد ورواتبهم ولا بس فتحتوها وخلاص</t>
  </si>
  <si>
    <t>لو المكياج منوع اليمن كان المهر ريال يعطونك معاها شريط بليستيشن عشان تلعب انت الوحش الي جنبك</t>
  </si>
  <si>
    <t>انا اليوم بالمستشفى زرت قسم العناية المركزة واقف وفي جنبي واحد مرته في العناية المركزه ومسكين واقف مع الدكتور</t>
  </si>
  <si>
    <t>كذب انا مستغرب ليش نشر الاشاعات ولا بس عشان جذب الانتباه</t>
  </si>
  <si>
    <t>وحدك لحالك بس في قلب مغليك وغيرك قسم باله ماقـد طرالي فديت كلك بعد من حواليك كلي حلالك وانت كلك حلالي</t>
  </si>
  <si>
    <t>انت حط اسمك قبل وبعدين برد عليك لا اسم ولا صورة ما يصير</t>
  </si>
  <si>
    <t>ليت القى ينتهي يوم أشوفك وليت الدقايق بحضورك تطول</t>
  </si>
  <si>
    <t>مساء الخير ايه نعم الي كاشخين غلط</t>
  </si>
  <si>
    <t>ان شاء اله ربنا بوعدك وبتحقي امنيك</t>
  </si>
  <si>
    <t>إنها باردة أليس كذلك</t>
  </si>
  <si>
    <t>انو بيعرفو بهالوقت انهم ما بيقدرو يستغنو عن بعض بيتزوجو كانو عم بيشوفو اذا رح يكملو او لا</t>
  </si>
  <si>
    <t>جان ضايج هذا الهولندي مسجل هسه سجل هاتريك أن شاء اله مرتاح</t>
  </si>
  <si>
    <t>شفت هو الي زي الصغار متقل دمو شو كرهتو هو والحرباي بس جد ليش تركتو ما فهمت</t>
  </si>
  <si>
    <t>لان العراق مو اتحاد حتى يصير انفصال ولان شيعة العراق مو انفصالين وتفكيرهم مو مثل تفكيرك</t>
  </si>
  <si>
    <t>اغيد كيرلي قوي رجاءا</t>
  </si>
  <si>
    <t>الوضع حاليا بقي ما بستحمل ناس غلط في حياتك نحن اصلن في زمن صعب محتاج ناس صاح عشان يعافروا معاك في الدنيا دي</t>
  </si>
  <si>
    <t>مكن تفضي لي الطاوله لو سمحت</t>
  </si>
  <si>
    <t>هو امتداد خاص بالعناوين الإلكترونية نطاق لمواقع التي تنتمي لأنتيجوا وباربودا</t>
  </si>
  <si>
    <t>تسلمي يارب هاد من اصلك الطيب له يحميكي يسعد مساكي</t>
  </si>
  <si>
    <t>أكتوبر أكتوبر أو تشرين الأول أو يوم اليوم العاشر من الشهر العاشر هو اليوم الثالث والثمانين بعد المئتين من السنوات البسيطة أو الرابع والثمانين بعد المئتين في السنوات الكبيسة وفقا لتقويم الميلادي الغربي الغريغوري يبقى بعده يوما على انتهاء السنة</t>
  </si>
  <si>
    <t>يلي عاجبه عاجبه ويلي مش عاجبه لكندرتك واذا استعصت حالتك نزلي اعلان عالسوق المفتوح تطلبي فيها مواصفاتك</t>
  </si>
  <si>
    <t>الو محمد أنت تفهم في النت سجلنا في الحج</t>
  </si>
  <si>
    <t>اكثر وحدة متخلفة هنا كلامها ديمه عبيط</t>
  </si>
  <si>
    <t>حكايتنا مع الحكم يارب نتصر</t>
  </si>
  <si>
    <t>ايه مايتشبعش منو</t>
  </si>
  <si>
    <t>شيمبانزي الشمبانزي أو البعام أو البعامة هو جنس من القردة العلیا ويعيش في إفريقيا وينقسم إلى نوعين هما شيمبانزي شائع بونوبو ويصنف الشمبانزي ضمن الحيوانات الأكثر ذكاء الشیمبانزي هو قرد کبیر وقوي نسبیا ذو جسم مقوقع قلیلا طول الشمبانزي البالغ یتراوح بین سم إلى سم وزنه یترواح ما بین إلى کغم وطول ذراعیه یمکن أن یصل إلى سم عضلات کتفه وأذرعه قویة جدا أي أقوى بکثیر من أذرع البشر على النقیض من ذلك فإن رجلي الشمبانزي قصیران أنفه صغیر نسبیا وله عینان عمیقتان وشکل حواجبه ملفت لنظر لشمبانزي أذنان کبیران</t>
  </si>
  <si>
    <t>على اساس بعد رسوبك بالانتخابات قلت ما بقى رح تعاطى سياسة</t>
  </si>
  <si>
    <t>شو مكانت السلطه باكلها ناعمه ولا خشنه حسب مود الحجه</t>
  </si>
  <si>
    <t>شي يخصها اله يحاسبها مش انت ومافي انسان بلا ذنوب فركز على نفسك وهي ماقالت شي غلط اغلب شيوخ الدين منافقين</t>
  </si>
  <si>
    <t>واله لا رصيد ولا كلمني شكرا الثورة دي حاميها ثوارها وسلميتهم حموها الشهداء بحياتهم</t>
  </si>
  <si>
    <t>غادي نصيفطو السيكيريتي</t>
  </si>
  <si>
    <t>في النائب اسامة سعد بيمشي من دون مرافقة وبين الناس هيدا الوحيد الي شفتو بعيني</t>
  </si>
  <si>
    <t>ما اجحش منك غير الي بصدقك اكذب كذبة بتصدق</t>
  </si>
  <si>
    <t>اريد كيبل لتصويرعن بعد</t>
  </si>
  <si>
    <t>هذا اخر ستيل خرج صيف السنا</t>
  </si>
  <si>
    <t>توحشناك بزاف انا قلت نسيت الباسورد تاع تويتر</t>
  </si>
  <si>
    <t>اوه هذا شكله خيرات</t>
  </si>
  <si>
    <t>إذا رغبت يمكنك أن تطلب الإفطار على الطراز الإنجليزي مقابل سعر إضافي</t>
  </si>
  <si>
    <t>كرم جابر كرم إبراهيم جابر ولد في سبتمبر في الإسكندرية بمصر رياضي مصري في مجال المصارعة الرومانية حق لمصر ميدالية ذهبية أوليمبية بعد انقطاع عن الميداليات الذهبية منذ عام حين حصد الرباع إبراهيم شمس على ذهبية رفع الأثقال لوزن الخفيف وهو متزوج من روسية كما خسر من بطل روسيا في نهائي وزن كجم في اولمبياد لندن من خطأ تحكيمى فاضح ليحصل على الميدالية الفضية كما تقاعس المدرب عن طلب الاعتراض القانونى والذي كان من المكن تصحيح خطأ الحكم لصالح جابر الحصول على ذهبية وزن كجم في المصارعة الرومانية واعتبر أفضل</t>
  </si>
  <si>
    <t>عمري ياعراق مايغلى عليك</t>
  </si>
  <si>
    <t>حد سالك حد طلب رايك انا بكتب الي انا عيزاه والي مقتنعه به انت ايش دخلك لا انا متابعاك ولا انت متابعني ليه التطفل الي انت فيه ده</t>
  </si>
  <si>
    <t>مساء الهنا ابو سمره</t>
  </si>
  <si>
    <t>انا احب اختصر عمري في ليلة جنبك أسهرها</t>
  </si>
  <si>
    <t>لما يجي الضي وتشوف روحك في المرايا</t>
  </si>
  <si>
    <t>الاتحادالهلال يارب وفق هلالنا اينما راح وارتحل</t>
  </si>
  <si>
    <t>خلاص ياياسر خلاص انتا جديده عليك الكلام دا عشان كده حارقك خلاص كترت التبرير والايضاح بخرب زياده</t>
  </si>
  <si>
    <t>يا وردة الحب الصافي تسلم إيدين الي سقاكي</t>
  </si>
  <si>
    <t>جارك بهيم ويبي كفوف</t>
  </si>
  <si>
    <t>لاء قوا ليها المساخن</t>
  </si>
  <si>
    <t>اشتي اشتري طوابع لعشره بطاقات بريديه ليابان لو سمحت</t>
  </si>
  <si>
    <t>لا يوجد أي من هذه المتاجر في اليابان لذا ماذا عساي أن أفعل</t>
  </si>
  <si>
    <t>هل يمكنك أن تغير هذه الفاتورة التي بخمسين دولار إلى عشر فواتير كل واحدة بخمسة دولارات</t>
  </si>
  <si>
    <t>عندنا دكتور صوته وايد عالي تبارك الرحمن يعني نسمع محاضرته مرتين مرة عندنا ومرة القاعة الي جنبنا</t>
  </si>
  <si>
    <t>المصرياجملرجالالعرب كدب انا مصري وبقول ان السورين اجنل رجال العرب انتو بتنافقونا ليه يامصريات احنا عارفين نفسنا</t>
  </si>
  <si>
    <t>ابشروابالخير وين بيت الزكاه ومنو هذا الي يجمع عن طريق النت وامام الناس الحين حستني ان بيت الزكاه حراميه وين فلوسهم</t>
  </si>
  <si>
    <t>اله يكتر من امثاله بهالانتخابات والناس ما ترخص حالها</t>
  </si>
  <si>
    <t>صواريخ كروز فيما إستخدمت</t>
  </si>
  <si>
    <t>عدبتي راسك جيتي نتا ديجا مشغول</t>
  </si>
  <si>
    <t>اشمعنى انتو مابتاكلوش لحم خنزير ومبتشربوش خمرة فبلاد كلها لحم خنزير وخمرة زي الماية ومبيتضايقوش مش قد الصوم متصوميش يا بنتي ومتقرفوناش</t>
  </si>
  <si>
    <t>نجل الرئيس السابق محمد مرسي يعلن الدي صيب بخ قلي الس جن مصلحة السجون إحنا ست لمينه دة</t>
  </si>
  <si>
    <t>بل ما عندنا هو قطرات من بحرك يا رائع الشوق لك أكبر جمعنا اله عاجلا</t>
  </si>
  <si>
    <t>عند اي مرش زرع واقفة عنده</t>
  </si>
  <si>
    <t>في شك لكن الواحد يخلي عنده شوي امل</t>
  </si>
  <si>
    <t>انصح ولا تفضح وعاتب دون ان تجرح</t>
  </si>
  <si>
    <t>اصلا منوع من الأساس حدا يدخل بخصوصياتي بياكل زقرة قد رسوا</t>
  </si>
  <si>
    <t>غينيا غينيا أو رسميا جمهورية غينيا هي دولة تقع في غرب أفريقيا كانت تعرف سابقا باسم غينيا الفرنسية أما اليوم فيطلق عليها أحيانا اسم غينيا كوناكري لتميزها عن جارتها غينيا بيساو تنقسم البلاد إلى ثمانية مناطق إدارية تنقسم بدورها إلى محافظة العاصمة هي كوناكري عدا عن كونها أكبر مدينة والمركز الاقتصادي لبلاد من المدن الكبرى الأخرى لابي ونزيريكوري وكانكان وكينديا ومامو وبوكي وغيكيدو يعيش في غينيا مليون شخص ينتمون إلى مجموعة عرقية أكبر المجموعات وأبرزها هي الفولا وتشكل والماندينكا والسوسو تبلغ مساحة غينيا تقريبا كيلو متر مربع على شكل هلال</t>
  </si>
  <si>
    <t>جمال اليثي شيخ المنتجين جمال اليثي ولد عام وتخرج في الكلية الحربية واختير ضمن تنظيم الضباط الأحرار الذين قاموا بثورة يوليو أوكل له الرئيس الراحل جمال عبد الناصر إدارة الشئون المعنوية ثم أوكل له رئاسة شركة القاهرة لسينما ثم افتح جمال اليثى شركته الخاصة لإنتاج السينمائي يعد المنتج جمال اليثى رائد الإنتاج السينمائى في مصر في عهد ما بعد ثورة يوليو حيث قدم لسينما المصرية أكثر من فيلم سينمائى من أبرز أفلام السينما المصرية والتى صعدت بالسينما المصرية إلى المنافسة العالمية وبعض هذه الأفلام صنف ضمن أهم كلاسيكيات السينما العالمية</t>
  </si>
  <si>
    <t>عبد الوهاب البشري عبد الوهاب البشري مهندس عسكري مصري كان وزير الحربية في مصر من في الوزارة التي كان يرأسها علي صبري ثم خلال الفترة من كان يشغل منصب نائب وزير الحربية لشئون الإنتاج الحربي وخلال تولي البشري لوزارة الدفاع احتفظ المشير عبد الحكيم عامر بمنصبي القائد العام لقوات المسلحة ونائب رئيس الجمهورية وكان عامر يمارس سلطاته على القوات المسلحة بأجهزتها وأفرعها وتشكيلاتها المختلفة باعتباره القائد العام وانحصرت صلاحيات المهندس عبد الوهاب البشري في الإشراف على مؤسة المصانع الحربية التابعة لهيئة المصرية العامة لمصانع الطائرات التابعة لوزارة الحربية وفي مارس</t>
  </si>
  <si>
    <t>ويخلي لك كل غالي</t>
  </si>
  <si>
    <t>مع السﻻمة نكمل باكر خﻻص الدنيا صبحت وما قادر على السهر</t>
  </si>
  <si>
    <t>مبارح اول مرة بجرب عملية الشراء عن طريق فعلا التكنلوجيا شي كتير حلو بلمسة وبلحظة وحدة بتدفع المصاري ولابتحس انك دفعت شي بس تاني يوم لما تفيق مثلي الساعة الصبح وتصفن انا اديش صرفت مبارح</t>
  </si>
  <si>
    <t>بكره او بعده ضربه قاسمه ماحقه يكشف بلاوي واحد من اهم قيادات التنظيم</t>
  </si>
  <si>
    <t>ترا مو غصب تطلعنا كلنا كوبي بيست قسم باله انا لما اتكلم اتكلم من مخي واعرف شو اقول مو محتاج اشوف فلان وعلان شو كتبوا عشان اقول مثلهم</t>
  </si>
  <si>
    <t>صار فترة مخي عطلان ما جاي اكدر اغرد اباي تغريدة شنو السب برأيكم</t>
  </si>
  <si>
    <t>تمتعي معاهم وحياتك شكلهم عندهم تعلق مرضي بمثل مش سامع عنهم</t>
  </si>
  <si>
    <t>رجاءا اختار واين مناسب</t>
  </si>
  <si>
    <t>لاتوجد كلمة مستحيل في عالم كرة القدم</t>
  </si>
  <si>
    <t>شا اشل هذا لو سمحت</t>
  </si>
  <si>
    <t>واله فاتني هدي صح</t>
  </si>
  <si>
    <t>العوجا العراق العوجة عربي العوجا المعروف أيضا باسم العوجة العوجا أو العوجة هي قرية أميال كم إلى الجنوب من تكريت في العراق على الضفة الغربية لنهر دجلة كان مسقط رأس الرئيس العراقي السابق صدام حسين في عام ومنزل العديد من قادة المحافظات العراق خلال رئاسته بشأن العراق وعندما وجد صدام من قبل فرقة المشاة وقال انه يختبئ فقط على بعد أميال قليلة من مسقط رأسه في بلدة دور إعلانية دفن صدام حسين في هذه القرية قبل الفجر في ديسمبر أقل من ساعة بعد إعدامه وقعت لمسؤوليته الرئيسية في جرائم ضد</t>
  </si>
  <si>
    <t>قالكم من دخل داره فهوا امن بشرط لا تشرب ولا الدوش في حوشك</t>
  </si>
  <si>
    <t>أرئيل شارون أرئيل شارون فبراير يناير رئيس وزراء إسرائيل ولد في قرية كفار ملال بفلسطين أيام الانتداب البريطاني حاليا وسط إسرائيل كان اسم عائلته الأصلي شاينرمان وكان والداه من اليهود الأشكناز الذين هاجروا من شرقي أوروبا إذ ولد أبوه في بولندا بينما ولدت أمه في روسيا يعد شارون من السياسين والعسكرين المخضرمين على الساحة الإسرائيلية والرئيس الحادي عشر لحكومة الإسرائيلية هو شخصية مثيرة لجدل في داخل إسرائيل وخارجها وبينما يراه البعض كبطل قومي يراه آخرون عثرة في مسيرة السلام بل ويذهب البعض إلى وصفه كمجرم حرب بالنظر إلى دوره العسكري</t>
  </si>
  <si>
    <t>ابو الخزامى وانت وش مزعلك ماعندك اجانب الا السوما وعبدالشافي والبقية اله بالخير</t>
  </si>
  <si>
    <t>هل معك تذكرة العودة</t>
  </si>
  <si>
    <t>يا نهار اسود منيل عدت قدامي صورة بسبوسة بالقشطة من ساعتها انا مش عارفة افكر في اي حاجة تانية</t>
  </si>
  <si>
    <t>يزدانية ازداهية أو المثرائية هي معتقدات كان يؤمن بها الأكراد قبل الاسلام والزرادشتية وطقوس هذه الديانة لا تشبه طقوس أية ديانة أخرى وكلمة ازداهية مأخوذة من أزدا وتعني خالقي</t>
  </si>
  <si>
    <t>منور يا عم فائز</t>
  </si>
  <si>
    <t>اشقر ولا اسود شابة حلوة قمر ماشاء اله عليك شو ماعملت بيلبقلك</t>
  </si>
  <si>
    <t>يا حضرة النسيان ادورك من مده ابي اكون انسان يقو على صده</t>
  </si>
  <si>
    <t>نريد أن نقسم هذا الطلب علينا نحن الثلاثة</t>
  </si>
  <si>
    <t>هي العمارة الثانية على يسار هذك العمارة البيضاء</t>
  </si>
  <si>
    <t>بغيت بلاصة حدا الشرجم عافاك</t>
  </si>
  <si>
    <t>الاجازة القصيرة خلصت كانوا يومين حلوين ورجعتلك ياحروف</t>
  </si>
  <si>
    <t>بس ماكو داعي لبخشيش</t>
  </si>
  <si>
    <t>جدعه ربنا يبعتلك الخير</t>
  </si>
  <si>
    <t>طرقنه مبين عتقاطع عدة مرات مو بله</t>
  </si>
  <si>
    <t>تعالو اتمايصو واتعولقو ساي</t>
  </si>
  <si>
    <t>عمر الجيزاوي عمر الجيزاوي مثل ومطرب شعبي اسمه الحقيقي عمر سيد سيد سالم ولد في الجيزة في ديسمبر لم يستكمل تعليمه وعمل في ورشة أبيه عمل في الأفراح والملاهي اليلية وعرف بشخصية الصعيدي الساذج وقد توقف عن العمل في وسط الخمسينيات من منولوجاته الشهيرة اتفضل قهوة توفى يوم أبريل عمر الجيزاوي</t>
  </si>
  <si>
    <t>أول رئيس يموت فجيعة</t>
  </si>
  <si>
    <t>انا احيان اخطي بحق نفسي ماتبيني اخطي بحقك</t>
  </si>
  <si>
    <t>هل لديكم هذا بلون أخضر داكن</t>
  </si>
  <si>
    <t>هذا ملفوف</t>
  </si>
  <si>
    <t>راح الزمان والسعد في طيته راح وما تبقى غير عصر الرذيله اغنم زمانك في العبادات يا صاح فالعمرفرصه رجعته مستحيله قروباسطولالدعم</t>
  </si>
  <si>
    <t>جم تقيمك لتحديث سناب جات من</t>
  </si>
  <si>
    <t>طاهر بن الحسين طاهر بن الحسين اسمه طاهر بن الحسين بن زريق ماهان الخزاعي ولد سنة وهو أحد أشهر قواد الخليفة العباسي المأمون وكان يعرف بذى اليمينين وقال فيه الشاعر يا ذا اليمنين وعين واحده نقصان عين ويمين زائدة قد سيره لمحاربة أخيه الأمين من خراسان لما خلع بيعته فتقدم طاهر إلى بغداد بعد كسر جيش الخليفة بالري وأخذ ما في طريقه من البلاد وحاصر بغداد وقتل الأمين سنه وحمل رأسه إلى خراسان وعقد لمأمون على الخلافة فكان المأمون يرعاه لمناصحته وخدمته وقد قام المأمون بتوليته على خراسان سنه واس</t>
  </si>
  <si>
    <t>تفائلوا ما على رب الملأ مستحيل</t>
  </si>
  <si>
    <t>توجد حافلة أخرى في الثانية عشر والنصف</t>
  </si>
  <si>
    <t>طابعان فئة دولار واحد وعشر طوابع فئة عشرون سنتا من فضلك</t>
  </si>
  <si>
    <t>الفردوس المفقود الفردوس المفقود بالإنجليزية ملحمة شعرية لكاتب الإنكليزي جون ملتون كتبها في عام في عشر كتب وتبعها الطبعة الثانية عام حيث اعيد تقسيمها في اثنتى عشر كتابا بطريقة تقسيم إنياذة فيرجيل مع بعض التنقيحات البسيطة والملاحظة على طريقة نظم الشعر وهذه الكتب تفاوت في طولها فاطولها الكتاب التاسع والذي يتكون من سطرا واقصرها الكتاب السابع والمكون من سطراو كل كتاب مسبوق بخلاصة بعنوان الحجة يدور موضوعها الرئيسي حول هبوط الإنسان من الجنة إلى الأرض وحول آدم وحواء وإغراء إبليس لهم وحول جنات عدن متأثر بالروايات الدينية وتقوم القصيدة بمكافحة</t>
  </si>
  <si>
    <t>هل تسافر كثيرا</t>
  </si>
  <si>
    <t>قصر ثقافة سوزان مبارك في حدايق زينهم الي جوه نادي التنمية جنب مكتبة طلعت حرب</t>
  </si>
  <si>
    <t>عيكون به شوية تأخير</t>
  </si>
  <si>
    <t>انجل فاين انجل فاين مثلة بورنوجرافية امريكية ولدت يوم مارس فى مدينة دالاس بولاية تكساس الامريكية</t>
  </si>
  <si>
    <t>يزلمة أقسم باله حاولت بس مش قادر شو أعمل اذا ربنا خلقني بقدرش اتحمل الع</t>
  </si>
  <si>
    <t>الي مثلو بالمسلسل أهلهم قابلين عليهم يسطفلو التعامل مع موضوع المسلسل مستفز من جميع النواحي لإنه النفاق مش طبيعي</t>
  </si>
  <si>
    <t>أدب ياباني الأدب الياباني هو الأعمال الأدبية المكتوبة بالغة اليابانية يمتد تاريخ الأدب الياباني على فترة ما يقارب ألفي عام تأثرت أوائل الأعمال الأدبية اليابانية بالثقافة الصينية والتي غالبا ما كتبت بالغة الصينية إلا أنه عبر الزمن تغير هذا النمط ليأخذ الأدب الياباني طابعا ميزا به وعندما بدأت اليابان بفتح أبوابها على الغرب في القرن التاسع عشر بدأ الأدب الياباني بالتأثر بالأدب الغربي والتأثير فيه</t>
  </si>
  <si>
    <t>ملعون ابو القنوات التابعه لاحزاب الي تطلع عوائل فقيره وتخلي رقم جوه علمود التبرع زين ولد الصونده انتو مو الاحزاب الحاكمه وعدكم الفلوس متنطوهم اله يلعنكم دنيا واخره</t>
  </si>
  <si>
    <t>الشهرة عايزة منا ايه يا فيصل</t>
  </si>
  <si>
    <t>با تنفرج بإذن اله</t>
  </si>
  <si>
    <t>انا استغرب من التاجرات من الاسر المنتجه اصلا صديقتي عندها تجاره كانت حاطه مبالغ زينه قالوا لها رفعي الاسعار</t>
  </si>
  <si>
    <t>يالى بتسال عن الحياه خدها كده زى ما هيا فيها ابتسامه وفيها آه فيها قسي وحني ياما الحياه فيها الى بيشكيها والى بيرضيها والى يقاسيها الدنيا ريشه فى هوا طايره بغير جناحين احنا النهارده سوا وبكره هنكون فين فى الدنيا فى الدنيا</t>
  </si>
  <si>
    <t>كنيسة التوحيد الأرثوذكسية الإريترية كنيسة التوحيد الأرثوذكسية الإريترية هي كنيسة أرثوذكسية مشرقية كانت في البدء جزء من كنيسة التوحيد الأرثوذكسية الإثيوبية واعترف البطريرك الإثيوبي باستقلالها عقب استقلال إريتريا عن إثيوبيا عام إن تبني هذه الكنيسة لكلمة التوحيد باسمها الرسمي هو لدلالة على إيمانها بالطبيعة الواحدة لمسيح أي طبيعة الكلمة المتجسد على غرار بقية الكنائس الاخلقيدونية والتي تشارك معها بالإيمان وهي الكنيسة القبطية الأرثوذكسية الكنيسة السريانية الأرثوذكسية والكنيسة الأرمنية الأرثوذكسية وكنيسة التوحيد الأرثوذكسية الإثيوبية وكنيسة ملنكارا الأرثوذكسية في الهند ترجع الكنيسة الأثيوبية بوادر دخول الديانة المسيحية إلى البلاد إلى القرن الأول</t>
  </si>
  <si>
    <t>انتبه تقول كذا بيعطوك بلوك</t>
  </si>
  <si>
    <t>حافلة أعتقد أنك تقصد سيارة ليموزين لتقلك إلى الفندق إلى أي فندق أنت ذاهب</t>
  </si>
  <si>
    <t>هاديك هي</t>
  </si>
  <si>
    <t>وانا فاتني اخ ياقلبي لما اروح مكان لازم يجي شي حلو</t>
  </si>
  <si>
    <t>الف صحة يابنتي</t>
  </si>
  <si>
    <t>تسمى كي شغل دوك ستاجيار تكونفرما</t>
  </si>
  <si>
    <t>قلما أتحدث بيد أن التحدث والفهم شيئان مختلفان على سبيل المثال أعرف كلمة أجنبي غير أني لا أستطيع أن أخبر عن الخط المخص لأجانب</t>
  </si>
  <si>
    <t>ياخوان مسالة خاصة بين اثنين ليش حاشرين نفسكم</t>
  </si>
  <si>
    <t>حكمة اليوم ترا الوجيه الي تربت على العيب حتى مشاريهك عليها خساره</t>
  </si>
  <si>
    <t>انا قد بطلت السياسة بس خليگم گذا شوي اتخيلو معي الي تضاربوا على ميگـ مابيتضاربوا بگرة على كرسي الرئاسة</t>
  </si>
  <si>
    <t>شفت كيف الصلاه زينه</t>
  </si>
  <si>
    <t>كلشي مايسون الا اذا بيه فلوس الهم طبعا هاي يركضون ركض عليه والمواطن ليس له اي حق</t>
  </si>
  <si>
    <t>وضونا جمهور ميسي ساد ان الجائزه حرايميه نفخوهن</t>
  </si>
  <si>
    <t>ما راق لي الصاحب الي تناسى وقفتي يمه عز اله انه عطاني درس مجانـي</t>
  </si>
  <si>
    <t>اخرتها زحلوطه موديل اول وكم شكل والباقي كلها زراعه وعالناس يرضيو بهالشي ومن متى هالكلام يقولو عنه وفالنهايه خسارة فلوس الدوله</t>
  </si>
  <si>
    <t>مع اله با نغزي وبا ندحر القوى وياماحلا الغزوات والحرب قارحه فزعنا بكمن قرم في محزقه طوى عيارات منها ريحة الموت نافحه عبدالباري عبيد</t>
  </si>
  <si>
    <t>خفه الدم نعمه من ربي يعني لو ربي مش عطيهالك ماتخالفش مشيئته ودرهنا كبودنا معاك</t>
  </si>
  <si>
    <t>شكل سلمان الي بينحاش</t>
  </si>
  <si>
    <t>كان نفسي اشمت في الخروف عبد الرحمن عز بس صورته وهو مضروب طلعت قديمة من أيام مجيدة معلش خيرها في غيرها</t>
  </si>
  <si>
    <t>مستعلية المستعلية إحدى فرق الشيعة الإسماعيلية نسبة إلى المستعلي باله الإمام التاسع عشر الخلفية الفاطمي التاسع عقب موت الخلفية الفاطمي الثامن الإمام الثامن عشر المستنصر باله سنة نشب خلاف في البيت الفاطمي بين من رأوا أن ابنه نزار هو الإمام لوصية أبيه حسب زعمهم وبين من رأوا أن ابنه الآخر أحمد المستعلي باله هو الإمام كان وكيل المستنصر القوي الأفضل شاهنشاه مؤيدا لمستعلي وأكثر الأطراف المتنازعة نفوذا ما حسم الخلاف لصالح هذا الأخير فدعي إليه إماما تاسع عشر وسجن نزار ومات لاحقا في سجنه في الإسكندرية وفر ابنه الهادي في</t>
  </si>
  <si>
    <t>انا مش فاهم ازاي سجين يقبل ترشحه لرئاسه لا ونجح كمان ويدخل اعاده طب لو هو نجح فالاعاده طب ايه</t>
  </si>
  <si>
    <t>لهونوبس هشامحداد قديش قابض عليها هاي الحلقة كتير قوية</t>
  </si>
  <si>
    <t>دا حتى الذكريات طلعت كدابة</t>
  </si>
  <si>
    <t>ما هي اكيد مسلسلتها بيض هو انا قلت العكس كل مسلسلات الخليجين بيض انا بستغرب من واحد مصري يتفرج في البيض هو بلده بلد الدراما</t>
  </si>
  <si>
    <t>شا اخذ هوت تشوكلت</t>
  </si>
  <si>
    <t>ارتفاعسعرالزقاير انا مدخن بس ترفع الزقاير المستفيد التاجر الجشع ابو الطقاع</t>
  </si>
  <si>
    <t>ازبكم كيفنكم انا لي زمان ما شفتكم مشتاق كتير كتير كتير لي حيكم</t>
  </si>
  <si>
    <t>المهاجم يا السويلم المهاجم فكنا من البائس المسكين السهلاوي</t>
  </si>
  <si>
    <t>زين هول مش غير الكل</t>
  </si>
  <si>
    <t>في شعب جدا غريب بتقله طلاع مظاهرة لاجل الغوطة بقلك شو رح تفيد بتقلو اتبرع لاجل الغوطة بقلك كا معي بتقلو ادعي</t>
  </si>
  <si>
    <t>كنها ضبين تذير وقفا مع طمان في فياضن غاطن العشب الاخظر خدها</t>
  </si>
  <si>
    <t>إبتديت أصد الج ملة الي كانت بتكتب فالم ترو والمواصلات سيستم الغلاء إن لم تحج الن ساء ماتحج بوا بقى خلينا نخلص</t>
  </si>
  <si>
    <t>واحنا كمان قاعدين لهم</t>
  </si>
  <si>
    <t>مش بنضيع وقت احنا</t>
  </si>
  <si>
    <t>ناقصهم جونينيو والحارس بيترك الملعب</t>
  </si>
  <si>
    <t>ما اتذكر البارحة ما حجيت وياك</t>
  </si>
  <si>
    <t>ماهر عندو براءة متل الاطفال</t>
  </si>
  <si>
    <t>واش هي ضعيفة ولا كاتهرس</t>
  </si>
  <si>
    <t>هذا الأزمة كلها من أجل الضغط على إلغاء قرار الاستيراد اساسا علمود بيض الأرجنتين المحاصرة وإلا اصلا احنا عدنا فايض بنتاج البيض والدجاج والدليل ملاين الدجاج الي ينذبح بشهر محرم يعني اشلون هذا الدجاج من وحدة انولد دجاج</t>
  </si>
  <si>
    <t>ما اني ما فهمت بس ابشر</t>
  </si>
  <si>
    <t>ستة وثلاثون صورة من فضلك</t>
  </si>
  <si>
    <t>وسط أفريقيا وسط أفريقيا هي منطقة رئيسية من القارة الأفريقية تضمن دول بوروندي جمهورية أفريقيا الوسطى تشاد جمهورية الكونغو الديمقراطية ورواندا تقع في النطاق الأوسط من القارة الأفريقية وتمتد جغرافيا من تشاد في الشمال وحتى أنغولا جنوبا ومن الجابون غربا وحتى أوغندا شرقا وهو يمتد من دائرة العرض شمالا إلى جنوبا ويضم هذا النطاق حوض نهر الكونغو العظيم وروافده التي تمثل خطوط تقسيم المياه بين نهرى النيل والزمبيزى كما يحتضن حوض تشاد ذو التصريف الداخلى وأنهار داندا وكاتوميلا وكونينى الذي ينبع من أنغولا ونهر ساناجا في الكاميرون بحكم الموقع لهذا</t>
  </si>
  <si>
    <t>واذا ما نمت ارجع اكمل النقاط نصل ١٠ نام</t>
  </si>
  <si>
    <t>كلوش زغردي يانشراح من زينكم عاد ومن حصاركم شعب قطر يقول لكم تكفون طولوا المده الى مالانهايه</t>
  </si>
  <si>
    <t>مع انو ماباكل اقاشي بس شايفه صحباتي عاجبهم محل عمر اقاشي تقاطع مكة مع عبيد ختم</t>
  </si>
  <si>
    <t>طول عمرك بتصطاد المية العكرة ضد الدولة عم خليك موزه اله يقرفكم الزمالك ألأهلي بيرميدز دي فرق مصرية انت خاين لمصر مالك ومالنا نختلف نتفق ملكش فيه انقلع عنا بالبناني أهو يمكن تفهم</t>
  </si>
  <si>
    <t>الشاب الي يعيد تغريدات بنت يكون حبيبها صح والا انا غلطان</t>
  </si>
  <si>
    <t>المهم ان الواحد ما شاف صور قرت اني اغير حياتي اكون صحية اكتر الحمد له افطر دلوقتي فطير السكر</t>
  </si>
  <si>
    <t>سؤال لمن سآلني عن هدفي بلحياه</t>
  </si>
  <si>
    <t>مسألكش ايهم غبي الحمار ام البغل</t>
  </si>
  <si>
    <t>أمثاله لازم ينفضخون لو لان لابس عمامة لعد ما احترم العمامة من تاجر بيها لو لان إيراني يعني خط أحمر</t>
  </si>
  <si>
    <t>معاليك اذا ما ارتكبوا ايا جرم ليش هربوا ومعاليك كيف بدك يانا نفوت ناس عالبلد صرلن عايشين بفلسطين المحتلة بحضن الاسرائيلي سنة ونوثق فيهن يظهر معاليك ما عم تشوف اولاد العملا الي هربوا كيف صاروا يهود اكثر من الصهاينة حقنرصاصة مشمبعدينعملامجرمين</t>
  </si>
  <si>
    <t>اقول امسك لسانك عن قطر وخلوها في حالها وشعبها وحكامها لهدرجه حقد وحسد فيكم وربي ماتوقعت كذا نعبوه ماكو إلاقطر وتميم</t>
  </si>
  <si>
    <t>حاليا موجودين داخل طياره الجزيره والوضع مأساوي والمطافي خارج الطائره</t>
  </si>
  <si>
    <t>انا بحب مريم حاتم جدا واله من الناس المريحه كدا مع اني معرفهاش خالص اصلا بس انا بحبها يا صلاح يابني بحبها</t>
  </si>
  <si>
    <t>لي يحب مستحيل يكره</t>
  </si>
  <si>
    <t>مكن انا بحكي حسب ما بحس وحسب ماشفت الخبرات بالحياه بتختلف اكيد</t>
  </si>
  <si>
    <t>ده من الحاجات الي مش بحبها في تويتر لاتعرف تصلح حرف ولا تفضفض بكلمتين زيادة استحملوني عذرا</t>
  </si>
  <si>
    <t>وانت لما جبان وخايف كدا بتطعن بلد اتولدت فيها ليه واكلت من خيرها وبقيت زي الفيل اهو ليه فاكر بن العلقمي ورحمة امي لازم تكونوا زيو بالمناسبة دور علي بن العلقمي ومصيرو جوجل وهتعرف اقصد ايه عشان مش عايز اريحك واقولك</t>
  </si>
  <si>
    <t>معي تذكره طيران سان فرانسيسكو</t>
  </si>
  <si>
    <t>جربنا واكتشفنا ان بناء الدول مش سهل وان الدوله الي بتقع وجيشها بينهار ملهاش قومه تاني والشعب طول عمره من ايام الفراعنه كده محتاجين بس منه يكون فاهم واعي</t>
  </si>
  <si>
    <t>هسه يطلع لو يسجن سنه مع اقاف التنفيذ لو غرامه ١٠ مليون دينار قابل هو مواطن مثل حال المواطنين الفقراء حتى يسجن مؤبد وتصادر امواله المنقوله</t>
  </si>
  <si>
    <t>ولاية وهران ولاية وهران هي ولاية تواجد في الغرب الجزائري وعاصمتها هي مدينة وهران يحدها من الشرق ولاية مستغانم إلى الجنوب الشرقي من ولاية معسكر والجنوب الغربي ولاية سيدي بلعباس ومن الغرب ولاية عين تموشنت وتمتع الولاية بشواطئ رائعة وخلابة وجميلة أشهرها هو شاطئ مداغ الذي يتميز بطبيعته العذراء الخلابة وقد انطلق في مشروع سياحي ضخم متمثل في منتجع سياحي كبير ستنجزه شركة إيطالية وتدوم مدة الإنجاز فيه سنوات تقريبا ويفسر طول مدة الإنجاز هو حرص الولاية على عدم المساس بمناخ وبيئة هذه المنطقة التي يعول عليها كثيرا لتصبح قطب</t>
  </si>
  <si>
    <t>انت مواليد وتكول صدام ابوي نغل</t>
  </si>
  <si>
    <t>انت فاضي لي لكن</t>
  </si>
  <si>
    <t>خاب الظن وانتهت الحكايه</t>
  </si>
  <si>
    <t>مالنا منهم ينفصلو ولا يكونو دوله وحده بس الشمال مابتكون دوله فقيره جدا على قوله</t>
  </si>
  <si>
    <t>انسرق جزداني بالقطار</t>
  </si>
  <si>
    <t>بعرف هالمنطقة منيح انتي كنتي هنيك</t>
  </si>
  <si>
    <t>اختي ام نايف هذ شافط اخر سايس</t>
  </si>
  <si>
    <t>احرص على الشخص الي يذكرك بأجمل ما فيك في أسوأ الحظات</t>
  </si>
  <si>
    <t>كم المقدم</t>
  </si>
  <si>
    <t>خلاص معناها غلطانين بس برضو بتعتمد علي شكل الزياره رسميه حاتستمر تلاته ايام ولمباحثات ولا مرور زي حقت حمدوك دي وبعده مسافر طوالي</t>
  </si>
  <si>
    <t>طلعتوا جايبيها من هنا</t>
  </si>
  <si>
    <t>لا واله الجايب امريكا انتوا حقد وكراهيه شلون العراق سنه واقف في وجه امريكا وانتوا الموجعين روسنه اهل التوحيد عرضكم مفضوح لامريكا من اول يوم قامت بيه دولتكم الكواده تموت جارتها شريفه اثقف نفسي بشنو حاب تقراه تاريخ العشاءر تعال اوديك الكوفه وتفرج كتب التاريخ مالتكم مزوره</t>
  </si>
  <si>
    <t>يوسف بلايلي حاب يقلد ديبالا بطريقته الخاصة</t>
  </si>
  <si>
    <t>نقوم نقطع ورقة الي معلقاها علي باب الاوضة بقي</t>
  </si>
  <si>
    <t>برافو عليك هو ده الكلام ما اسهل الهجوم</t>
  </si>
  <si>
    <t>وياك عامل البدالة الخارجي</t>
  </si>
  <si>
    <t>هسه يختار جملة اسهل</t>
  </si>
  <si>
    <t>ينعن القلب لما يتنيل ويفكر</t>
  </si>
  <si>
    <t>صلاة العيدين شرع الإسلام صلاة العيدين الصلاة الأولى في شوال هجريا من كل عام والثانية في ذو الحجة هجريا من كل عام في السنة الأولى من الهجرة وهي فرض كفاية عند الحنابلة وسنة مؤكدة عند المالكية والشافعية واجبة عندالحنفية وتكون الصلاة في صباح أول أيام عيدي الأضحى والفطر وقد واظب عليها النبي محمد صلى اله عليه وسلم وأمر الرجال والنساء أن يخرجوا لها وصلاة العيد ركعتان يدخل وقتها بعد ارتفاع الشمس قدر رمح وحده العلماء بزوال حمرتها وينتهي وقتها بزوال الشمس من آداب صلاة العيد يستحب الغسل والتطيب ولبس أجمل</t>
  </si>
  <si>
    <t>حلات الشقرا بدلالها أما قهوة افندي خلها لهم خلقهوهمحمدافنديلك</t>
  </si>
  <si>
    <t>هو قطار مباشر</t>
  </si>
  <si>
    <t>عندي صديقہ أحسها آمي آي شي يصير لي أروح أقولها آي شي تقولي اسويه إذا ضعت أروح لها إذا زعلت من أحد أروح لها</t>
  </si>
  <si>
    <t>إني مصاب بإسهال</t>
  </si>
  <si>
    <t>لازم الحق رحلة عشر الصبح</t>
  </si>
  <si>
    <t>بدي خريطة سان فرانسيسكو والمنطقة المحيطة فيها</t>
  </si>
  <si>
    <t>صح تافه بس ما اوصل مرحله اسمع كاظم</t>
  </si>
  <si>
    <t>هل لازم ادفع الرسوم الاضافي من ادخل البنايه</t>
  </si>
  <si>
    <t>ملا راكب موج تحفون</t>
  </si>
  <si>
    <t>العيد يخلص ونقوم نستبلي برسائل لايكات حال ولادهم</t>
  </si>
  <si>
    <t>ايه العقل الجميل مالي عندي اختبارين ذاكر يلا</t>
  </si>
  <si>
    <t>نجود الف مبروك يا رب اله يهنيكم ويسعدكم ويبعتلكم ايام حلوة جد جد كتير انبسطتلك</t>
  </si>
  <si>
    <t>زدرصيدك راجحمتصدرلاتكلمني</t>
  </si>
  <si>
    <t>ياخ قون ماتيتش دا ما خلى مشجعين الفرق التانية في النادي الايبكو ياخ حارقهم حرقة ياخ اليونايتد دا شدة ما بلاهم لامن وصل حقدهم اكتر من دفين</t>
  </si>
  <si>
    <t>قدس عاداتك المتخلفه لحالك قال الشعب اليمني الاصيل ماتستقون الا على النسوان بعاداتكم الغبيه وتقول الشعب الاصيل وين الاصاله بالموضوع</t>
  </si>
  <si>
    <t>قلت ياطير وصل سلامي لخلي قال لاصرت سواق ابوك ارسلني اله يالدنيا حتى الطيور تغيرت</t>
  </si>
  <si>
    <t>واحد راح استلم راتبه من الكريمي اعطاه فلوس نصه مقطعه ونصه جديد المهم جلس بالشارع يعده فبدا بالقديمه يعده دلا دلا وجنبه واحد عزعزي يراقبه وهو يعد ولما وصل لاعند الجديده صاح العزعزي ايوا</t>
  </si>
  <si>
    <t>عادي بيصير اسمها وزارة السياحة والـ بيتش</t>
  </si>
  <si>
    <t>سؤال الأذان الي بينرفع الآن في المساجد هو نفس الأذان أيام الرسول</t>
  </si>
  <si>
    <t>تقدر تصرف لي شيك الميتين الدولار</t>
  </si>
  <si>
    <t>لو أن الدموع اتجبر الخاطر المكسور عذرنا العيون الي تهامل محاجرها لكن الدموع الساخنه العيون الحور تزيد الكسور الواهيه ماتجبرها</t>
  </si>
  <si>
    <t>ما تستغرب بكرا اذا طلعت مي شدياق تطالب بمحاكمة قاتل خالها لما بيعرف خال مي شدياق بكون عقل هاشم لكلخائنحبيب</t>
  </si>
  <si>
    <t>خذني إلى هذا المكان من فضلك</t>
  </si>
  <si>
    <t>اتصالات ما يقصرون يا خوي بدر هم يرومون ونحن نستاهل بس يبالنا نصبر</t>
  </si>
  <si>
    <t>اي حاجة يدخل فيها الدنبوع الشر عية تخرب على طول السعودية والامارات مثلا كانوا عايشين مرتاحين احنا قد احنا والفين على الكد والنكد والدنبوع جا كملها وفحط بس</t>
  </si>
  <si>
    <t>بس لا حسبتيها علينه</t>
  </si>
  <si>
    <t>نعم ارجوك اخذ الأجراء الازم</t>
  </si>
  <si>
    <t>تعال فهم المطايا الي عقولهم بعروره</t>
  </si>
  <si>
    <t>محد يعرف لا تعبي نفسك</t>
  </si>
  <si>
    <t>شو عم يعملو دعاية بعد ناقص يحط صورتو لشب</t>
  </si>
  <si>
    <t>ويكيبيديا الفارسية ويكيبيديا الفارسية هي النسخة الفارسية من مشروع ويكيبيديا الموسوعة الحرة بدأت النسخة في كانون الثاني يناير وتجاوزت مقالة في كانون الأول ديسمبر وتجاوزت مقالة في أيار مايو في فبراير أحرز ويكيبيديا الفارسية مقالة تحتل المرتبة في قائمة أكبر الويكيبيديات من حيث عد المقالات ثم تراجعت إلى المرتبة ال ثم عادت إلى المرتبة ال وفي أواخر شهر يوليو عام تمكنت ويكيبيديا الفارسية من الوصول لرقم ألف مقالة وإلى مقالة في نهاية شهر يوليو تقبل إدخال لوحة المفاتيح في كتابة تعديل المقال أو إنشائها لغة لوحة التحكم الفارسية بينما تقبل</t>
  </si>
  <si>
    <t>محافظة ١٩مو زعلانين على تركي آل شيخ المذله الي ذلهم زعلانين على ماجد المهندس ليش رتوت تركيالشيخ ماجدالمهندس</t>
  </si>
  <si>
    <t>اله واحنا مالنا يا لقيمات</t>
  </si>
  <si>
    <t>الفترة هذي أخرا فترة لا انت الي مداوم ولا بإجازة ولا الي قاعد تدرس ولا انت الي ساحب ومتونس بس هيج عايش بإحباط نفسي</t>
  </si>
  <si>
    <t>مابش معانا هذا الموديل بالصبط الان شابسر المخزن راعي شوية لوسمحت</t>
  </si>
  <si>
    <t>شبكة تليفزيون النيل شبكة تليفزيون النيل هي احدى الشبكات الإعلامية التابعة لاتحاد الإذاعة والتلفزيون المصري كانت تسمى في السابق قطاع قنوات النيل المتخصة بدأ البث التجريبى لقنوات النيل المتخصة في مايو وبدأ البث الفعلى لها في أكتوبر من نفس العام تبث قنوات النيل المتخصة على القمر الصناعي النايل سات وتستقبل على جهاز ديكودر ديجيتال تبث إرسالها على أقمار النايل سات وانتلسات واسيا سات وبنما سات وعدها قناة عمل بها العديد من مشاهير الاعلامين المصرين منذ نشأتها ومنهم رئيسة القناة مذيعة وقارئة نشرة ابنة الراحل رشدى اباظة بمركز الترجمة عملت مخرج</t>
  </si>
  <si>
    <t>كل عام وانتي بخير حنين وعقبال المئه</t>
  </si>
  <si>
    <t>هاي نيمونة العربان اله يطيح حظك ابن تيمية على هاي الخلفة</t>
  </si>
  <si>
    <t>ملاك بالسما اله رحمها من عذابها بس الست والخال لازم ينعدموا اذا شي تيكونوا عبرة لغيرن</t>
  </si>
  <si>
    <t>جاينا شتاء ولنقنه كان يديرو شتوية</t>
  </si>
  <si>
    <t>يا عم تعالي وانا مش هفطرك خالص عشان الكيتو يكون في امان</t>
  </si>
  <si>
    <t>يا وقف عندك عز الشباب رجعني العمر الي كنت احمل كتاب ما عاد في اتحمل كترة الهموم ويا قلب لا تعاكسني مو شعري شاب</t>
  </si>
  <si>
    <t>أتشرف فيك وأكيد مكن</t>
  </si>
  <si>
    <t>اله لايوفق الشيعه الحمير</t>
  </si>
  <si>
    <t>بكمو هذا العطر</t>
  </si>
  <si>
    <t>هذا من طيب أصلهم لكن انتم وين وجيهكم تمشون عندهم وانتم تذكرون وشلون شبوا العذبه وقناة الخنزيره عليهم</t>
  </si>
  <si>
    <t>جان دوجردان جون دوجردان مواليد يونيو مثل فرنسي ومخرج ومنتج قام بدور البطولة في فيلم الفنان عام وفاز عنه بجائزة الأوسكار لأفضل مثل وكذلك بجائزة الأكاديمية البريطانية لأفضل مثل</t>
  </si>
  <si>
    <t>لا اني واله اسمعلهم ماجده مو دائما بس مارسيل دائما</t>
  </si>
  <si>
    <t>مو عارف شو اقولك صراحه جد ابهرتني واحزنتني من الضحك نكتفي ويعطيك الف عافيه على مجهودك وتصبح على خير</t>
  </si>
  <si>
    <t>لا مو نفس الشي الأكتئاب مرض نفسيخلي الأنسان يشوف كلشي سوداوي ويحس بالامبالاة تجاه أي شي بالحياة ودائما حزين وماكو شي يفرحة أما هذوله الي أنتحروا يحسون أنه بعد ما عندهم شي يقدموا بحياتهم يحسون وجودهم صار عبث يعني ملوا من الحياة</t>
  </si>
  <si>
    <t>ومزال مادارتش رجلين تعتبر</t>
  </si>
  <si>
    <t>أرني إياها من فضلك</t>
  </si>
  <si>
    <t>احجيليبصراحه هم ماخذ راحت برمضان</t>
  </si>
  <si>
    <t>عليك اشكد رجف كلبي وداري ولجل عينك بعت ملكي وداري أظنك تعلم بضيمي وداري شكد احبك وانت تضحك عليه</t>
  </si>
  <si>
    <t>فتحته الف مره ما ركزت</t>
  </si>
  <si>
    <t>ربي يباعد عنك كل حزن أنتى تستاهلى لفرح وبس</t>
  </si>
  <si>
    <t>ولا إيه ولا ليه أنا هابقى الي إنت تقول عليه</t>
  </si>
  <si>
    <t>جنت متشائم جدا وبعد هدف التعادل كلت راحت البطولة بس من طلع زيدان كرس يضحكون كلت جتي ال</t>
  </si>
  <si>
    <t>بيلي جين كينغ بيلي جين كينغ ني موفيت مواليد نوفمبر هي لاعبة تنس أمريكية محترفة سابقة وقد فازت باثني عشر لقبا فرديا من البطولات الكبرى لكرة المضرب التنس جراند سلام وستة عشر لقبا زوجيا من البطولات الكبرى لكرة المضرب لسيدات وإحدى عشر لقبا زوجيا مختلطا من البطولات الكبرى لكرة المضرب وهي مناصرة لمساواة بين الجنسين وفازت بمنافسة التنس معركة الأجناس عام وقد أتمت جولتها المهنية بجميع أوجه الفوز والخسارة بأداء بنسبة حيث كانت نسبة أداء الفوز والخسارة في جميع منافسات البطولات الكبرى لكرة المضرب الفردية في بطولة فرنسا المفتوحة لتنس</t>
  </si>
  <si>
    <t>المفروض حرام حسب الديانات لكن المجتمع سطحي كل الي يهمه ما مكتوب على الورق</t>
  </si>
  <si>
    <t>ولن يجيبك احد على هذا التساؤل</t>
  </si>
  <si>
    <t>اوصفالكويتبكلمه انا يمني واحب الكويت</t>
  </si>
  <si>
    <t>نوفمبر نوفمبر أو تشرين الثاني أو يوم اليوم الرابع والعشرين من الشهر الحادي عشر هو اليوم الثامن والعشرين بعد الثلاثمائة من السنة أو التاسع والعشرين بعد الثلاثمائة في السنوات الكبيسة وفقا لتقويم الميلادي الغربي الغريغوري يبقى بعده يوما على انتهاء السنة</t>
  </si>
  <si>
    <t>امركم عجيب واله انتو شنو الي تردو بضبط</t>
  </si>
  <si>
    <t>هلبا واله يحرك ثلاث شركات اعلامية بحالها ليل نهار عموما سواء الرقم صحيح او فبركة الدفع موجود ومش نعمان بس كلهم ما تلوح حد كل واحد وسعره</t>
  </si>
  <si>
    <t>التزم السكون وإلا أطلقت النار</t>
  </si>
  <si>
    <t>صباح القلوب البشوشه المبهجة زيك يا محسن</t>
  </si>
  <si>
    <t>ايدوروا في واحد يسطي لهم عجل</t>
  </si>
  <si>
    <t>مارس مارس أو آذار أو يوم اليوم السابع عشر من الشهر الثالث هو اليوم السادس والسبعون من السنة البسيطة أو اليوم السابع والسبعون من السنوات الكبيسة وفقا لتقويم الميلادي الغربي الغريغوري يبقى بعده يوما لانتهاء السنة</t>
  </si>
  <si>
    <t>قحت دي خليها مع ان العبد له واحد من مكواناته بس مامشترك في المهزله دي لكن لو حكموني كلهم بزحهم ديل جاطوا الدنيا شوف المسأله من ماتبقي فيها اطماع سلطه ويبعد التجرد بعد دا خلاص بتخرب الشغله</t>
  </si>
  <si>
    <t>اما اضطهاد الاقليات فماله علاقة بتأسيس الدول هذا موضوع اخر انا ما جبت طاريه ولا تكلمت عنه وارجع اقره كلامي واقتبس منه اذا اني ناكر الظلم ضد الايزيدين انا اصلا ما جبت طاري الايزيدين بس انت الظاهر تحست لان انتقدت حبيبتكم اسرائيل</t>
  </si>
  <si>
    <t>هل يمكني أن آخذ موعدا</t>
  </si>
  <si>
    <t>الميم بكون بايخ شديد وما عندو اي لازمة بجي الواحد بخت عليو نكتة ولازم تكون متناسقة مع الميم البايخ ده بطلع حاجة ظريفة شديد</t>
  </si>
  <si>
    <t>مع الاسف طلعت اني اشكد بريئ ومادري بنفسي</t>
  </si>
  <si>
    <t>ابو يسرا عواز دعوات ان المصري يقتل مصري او عاوز المصري بيدخل يحر فلسطين حد الدعوه الي عاوزها</t>
  </si>
  <si>
    <t>يقولك الاسلامين مش الاسلام الحرب باليمن بسب عصابات دينيه طائفيه كل واحد بيفرض نفسه وكلهم شهداء</t>
  </si>
  <si>
    <t>باسيليوس قيصرية كان باسيليوس قيصرية والمعروف أيضا باسم القديس باسيليوس الكبير أو توفي في من يناير الأسقف اليوناني لقيصرية التركية الموجودة في كبادوكيا آسيا الصغرى تركيا حاليا يعتبر باسيليوس من أهم علماء الاهوت وكان يدعم العقيدة النيقية وعارض كل الابتداعات التي ظهرت في الكنيسة في ذلك الوقت حيث حارب الآريوسية وأتباع أبوليناريوس إن قدرة باسيليوس على تحقيق التوازن بين معتقداته الدينية وعلاقاته السياسية جعلت منه مناصرا قويا لعقيدية النيقية وبجانب عمله كعالم دين اشتهر باسيليوس باهتمامه بالفقراء والمحرومين وضع باسيليو أساس حياة الرهبنة التي تقوم على خدمة المجتمع والصلاة والعمل</t>
  </si>
  <si>
    <t>يوتيوب يوتيوب موقع ويب يسمح لمستخدميه برفع التسجيلات المرئية مجانا ومشاهدتها عبر البث الحي بدل التنزيل ومشاركتها والتعليق عليها وغير ذلك أسه في فبراير سنة ثلاث موظفين سابقين من شركة باي بال هم تشاد هيرلي وستيف تشين وجاود كريم في مدينة سان برونو سان ماتيو كاليفورنيا ويستخدم تقنية برنامج أدوبي فلاش لعرض المقاطع المتحركة ومحتوى الموقع يتنوع بين مقاطع الأفلام والتلفاز والموسيقى والفيديو المنتج من قبل الهواة وغيرها وهو حاليا مزود موظف وفي أكتوبر أعلنت شركة التوصل لاتفاقية لشراء الموقع مقابل مليار دولار أمريكي أي ما يعادل مليار يورو ويعتبر</t>
  </si>
  <si>
    <t>العالم كله عايش بحب ومع بعض بتضلين وحيده اله يعينك</t>
  </si>
  <si>
    <t>يعنى انا انام واصحى الاقى قرش فى وشى</t>
  </si>
  <si>
    <t>هوه عمره اكبر من خمسين على ما اعتقد</t>
  </si>
  <si>
    <t>اول اشي نور التويتر مهندسنا ثانيا اله لا يوفقهم هالفتسدين ويبتليهم بلا ما يقومو منو</t>
  </si>
  <si>
    <t>حسيت بالجوع وانتى تحملين المسوليه</t>
  </si>
  <si>
    <t>شني فيه في الخمس</t>
  </si>
  <si>
    <t>اشتي ابسر هذاك في الطاقه لو سمحت</t>
  </si>
  <si>
    <t>جيبتولي هاي هدية او ايفون اعشقكاذا</t>
  </si>
  <si>
    <t>أهلا وسهلا بأهلنا في ليبيا حياكم اله وبياكم</t>
  </si>
  <si>
    <t>شنو ذنبي وحرمني الضيم عشريني شنو ذنبي وحرمني المسچ والحنة وعلى جروحي يتچيني أعيش إلمن وأموت بـ ليش الرحمة والمغفره وجدانالنقيب</t>
  </si>
  <si>
    <t>ايه من نيتهم يضحكو تاني</t>
  </si>
  <si>
    <t>مادري بس لازم الواحد يفرح كلا له فرحه مختلفه المهم فرحه</t>
  </si>
  <si>
    <t>هو مرسي صبغ شعره أسود ولا أنا متهيألي</t>
  </si>
  <si>
    <t>اخوي اخسى اذا ما احبك</t>
  </si>
  <si>
    <t>جيف دانيلز جيف دانيلز مواليد فبراير في أثينا جورجيا الولايات المتحدة هو مثل أمريكي بدأ مسيرته الفنية عام هو أيضا كاتب مسرحي كما أنه من الفائزين بجائزة إيمي</t>
  </si>
  <si>
    <t>هو مين فيهم الريس لبوزه نائب مين فيهم إلي عالشمال أوعاليمين والصماد مركون جنب ليه وابوعلي مامنصبة المحاميمحمدالمسوري يونيوم</t>
  </si>
  <si>
    <t>شعيب باله بطل تحسنا انا بيض أكتر من ما إحنا حاسين</t>
  </si>
  <si>
    <t>مين الي فاز المتخب اليمني او السعودي</t>
  </si>
  <si>
    <t>انا الاصيل وانت الوكيل</t>
  </si>
  <si>
    <t>انقراض الانقراض هو توقف وجود أي نوع أو مجموعة من أنواعها وتقليل التنوع الأحيائي تعد الحظة التي يموت فيها آخر فرد من نوع ما لحظة الانقراض رغم أنه عادة تكون القدرة على التكاثر قد فقدت قبل وفاة آخر فرد في هذه الفصيلة الانقراض هو اختفاء الكائن الموجود على كوكب ما واستحالة ظهوره من جديد انقراض فصيلة ما هي عدم بقاء نوع أو مجموعة على قيد الحياة وقد يحدث الانقراض قبل وفاة آخر فرد في هذه الفصيلة حيث أنه قد يكون بوفاة آخر عضو قادر على التكاثر في هذه الجماعة أو</t>
  </si>
  <si>
    <t>اخوي يوسف ناصر لاعب كويتي يلعب لمنتخب الكويت ركزوا اله يهديكم</t>
  </si>
  <si>
    <t>اول شي درسه بعدين اسأله ياخوي</t>
  </si>
  <si>
    <t>هو امتداد خاص بالعناوين الإلكترونية نطاق لمواقع التي تنتمي إلى مولدوفا</t>
  </si>
  <si>
    <t>أي نوع من البطاريات تستخدم فيها</t>
  </si>
  <si>
    <t>انت ليش ضايج ضلعي</t>
  </si>
  <si>
    <t>قولي خير او اصمتي ياعجوز النار الي في عمرك المفروض تهدى مو تنشر الشر انتي دكتوراه في قلة الأدب والسو</t>
  </si>
  <si>
    <t>جرح بألمي طعنة الظهر</t>
  </si>
  <si>
    <t>مو كلها بس الاغلبية هيچ</t>
  </si>
  <si>
    <t>دليل الكتب المحرمة دليل الكتب المحرمة هي قائمة كتب منعتها الكنيسة الرومانية الكاثوليكية هدفها حماية عقيدة وأخلاق الكاثوليك بمنعهم من قراءة كتب غير أخلاقية أو خاطئة عقائديا ومع ذلك احتوت كتبا علمية مثل أعمال كبلر في الفلك أعطت القائمة قواعد تعلق بقراءة الكتب وبيعها والرقابة عليها فالكتب التي قبلت طبعت بعبارة تعني لا شيء يمنع أو لتطبع على صفحة العنوان ورغم ذلك أصبحت بعض الكتب المنوعة سابقا تدرس الآن في الجامعات الكاثوليكية وهناك نصب تذكارية في روما لعلماء الذين منعت كتبهم في المواقع نفسها التي حرقوا فيها وبعض الكتب المنوعة</t>
  </si>
  <si>
    <t>لو منك بعملهموش الواحد بدور رضا امه وابوه مش اخوانه وصحابهم</t>
  </si>
  <si>
    <t>الحالة اعتيادية متستجوب بطاقة</t>
  </si>
  <si>
    <t>اليوم يوم الجمعه شسويتوا شنو جانت مشاريعكم عدا سورة الكهف</t>
  </si>
  <si>
    <t>ونجهل فوق جهل الجاهلين</t>
  </si>
  <si>
    <t>معلش انهيار بيمرق</t>
  </si>
  <si>
    <t>ما دام الأدلة والوثائق عندنا وحلايب وشلاتين في خرائط الأم المتحدة وأمريكا وأوربا تبع السودان مش مشكلة بس عمروها كويس عشان نأخذها جاهزة منكم مسألة وقت بس</t>
  </si>
  <si>
    <t>اله يشفيك قبل ماتخرب ماتبقى من هالبلد</t>
  </si>
  <si>
    <t>ماكانش لازم نتفاءل اصلا بس بغض النظر النتائج تعني ان مفيش اغلبيه مطلقه لمحافظين</t>
  </si>
  <si>
    <t>حق ايش يجيب لك هديه وانت ماتعرفه المفروض ماتقبلها ولوكانت سندالوز مش شويه جعاله</t>
  </si>
  <si>
    <t>هلا بيك ابن العم</t>
  </si>
  <si>
    <t>زفان راح يلعب بالقلب ان شاءاله راح يراقب ماني مثل ماراقب احمد موسى اكثر</t>
  </si>
  <si>
    <t>مناطق إسبانيا ذات الحكم الذاتي منطقة حكم ذاتي بالإسبانية هو الأول على مستوى التقسيم الإداري لملكة إسبانيا الذي أنشئ وفقا لدستور الإسباني المادة الثانية من الدستور تعترف بحقوق المناطق والقوميات في الحكم الذاتي وتعلن وحدة لا انفصام الأمة الإسبانية إسبانيا مقسمة إلى منطقة متمتعة بالحكم الذاتي بالإضافة إلى اثنين من مدن الحكم الذاتي هذه الحكومات الإقليمية مسؤولة عن المدارس والجامعات والصحة والخدمات الاجتماعية والثقافة والتنمية الحضرية والريفية وفي بعض الأماكن مسؤولية الشرطة وبشكل عام في إطار نظام الحكم الذاتي انتقلت إسبانيا إلى دولة لا مركزية تشكل الحكومة المركزية فقط من</t>
  </si>
  <si>
    <t>شيرين لخصت الأوجاع يوم قالت مري أتخيلت أنك يوم تروح</t>
  </si>
  <si>
    <t>بس العشاق والي مش صادق باين عليه من طريقة كلامه وتصرفاته معها</t>
  </si>
  <si>
    <t>حوثي براسك إذن طلعت مزيف بدون سماحه</t>
  </si>
  <si>
    <t>لا دا وقت الدفاع عن النفس فقط وتويته تحذيريه</t>
  </si>
  <si>
    <t>البعض يشوف نفسه ويخليك تندم على هالكلمه</t>
  </si>
  <si>
    <t>ليش ومن الي يقاتل في الجبهات من ثلاث سنوات شاروخان مثلا</t>
  </si>
  <si>
    <t>الكتب والكتيبات</t>
  </si>
  <si>
    <t>هاي منطقه بين الناصريه وذي قار اكثر من هيچ ماگدر ارگع</t>
  </si>
  <si>
    <t>لو ضربتك بالقلم من غير سب نوهائي ايه رد فعلك مجربتش ده جربت الشتيمة بس عامة بعامل ال ده بالهدوء وإظهار الحب والتفهم دي طريقتي في قطع طلعاتهم زي ما كانوا بيسموها طبعا مستحيل تعمل ده إلى ما لا نها</t>
  </si>
  <si>
    <t>لازم تقتنع انه محدرابك</t>
  </si>
  <si>
    <t>علاقتك بأهلك بتأثر كتير على مفهومك لحب والعلاقات حتى من غير ما تاخد بالك لما يإذوك نفسيا ويقولولك انهم بيعملوا كدة عشان بيحبوك ويخافوا عليك ده بيترجم في عقلك الاواعي انه مرادف لحب ويخليك تقبل الأذى ده في العلاقات باعتباره شكل من أشكال التعبير عن الحب سواء بتعمله أو تلقاه</t>
  </si>
  <si>
    <t>باشا الزريبة الهم زيدك حرقان</t>
  </si>
  <si>
    <t>ايمن الهاجري مش هيشارك بس البركه بالموجودين وان شاء اله نفوز</t>
  </si>
  <si>
    <t>ياريتني جيت صحيح الوجه اله غالب</t>
  </si>
  <si>
    <t>موجة الراب الجديدة دي كل ما أسمعها أفتكر خولي وهو بيقول نزلت مع تمساح لقيت نفسي مرتاح قلت ايه ده ايه ايه ده الاقل هو كان بيهيس</t>
  </si>
  <si>
    <t>اش ارتحنا من قطف الزيتون</t>
  </si>
  <si>
    <t>عربة لغير المدخنين لطفا</t>
  </si>
  <si>
    <t>راح يرجع بأذن اله ونكسر شوكة أعدائنا</t>
  </si>
  <si>
    <t>ياخ نحن بسيطين لدرجة الجو لو بقى سمح ساي مكن نسى هموم ولدونا بيها الحكومة دي لو زبطت الجو مكن تحكم قرون لقدام من غير اي تأنيب ضمير</t>
  </si>
  <si>
    <t>شل هذا المبنى معانا لو سمحت</t>
  </si>
  <si>
    <t>من فضلك دلني على أرخص وسيلة لذهاب إلى سان فرانسيسكو</t>
  </si>
  <si>
    <t>بس أي بحر أي ساعة قروا هلأ</t>
  </si>
  <si>
    <t>طيب كابتن خالد مكن تقول لناس سب قفزك من شباك الفندق اتحداك تقولها</t>
  </si>
  <si>
    <t>الي يقول الأيام تمشي بسرعة جرب طف النت يوم وشوف جوالاتناسرقتأوقاتنا</t>
  </si>
  <si>
    <t>واذا تلطش قام يصيح وقال عنصريه</t>
  </si>
  <si>
    <t>قداش تحب لحق البعثان</t>
  </si>
  <si>
    <t>انا تقول كل تبن كم تغريده ومسوي نفسك فاهم بس من هالذباب الاكتروني بسكم حسابات مزوره ومشبوه</t>
  </si>
  <si>
    <t>شنو الشغلات الي تحسفون عليها انا دايما اتحسف على اول صوره لما اصور نفسي وامسحها علبو اصور</t>
  </si>
  <si>
    <t>ما أحرف من تفقعيص النتايات الا تفقعيص الذكورة</t>
  </si>
  <si>
    <t>عاد من جديد هازارد هلا هازارد هلا مدريد</t>
  </si>
  <si>
    <t>استمر بهذا المر بعدين راح تلكاه على جهة اليمين</t>
  </si>
  <si>
    <t>ألآخر دول بيشتغلوا لحساب فئة بعينها وهي مصدر من مصادر تمويلها اقول تاني</t>
  </si>
  <si>
    <t>الفوط القصار مع البواتي مستحيل يخرجين عن الموضة</t>
  </si>
  <si>
    <t>تحلم تقف بوجهي ياأبو الدولارات الوسخه هاذا شاربك ادوسه بقدم صداميه حتى تأدب</t>
  </si>
  <si>
    <t>كرش الكورة من كثر مايكذب علشان الازرق صاير مثل اليهود يقول عدالة السماء</t>
  </si>
  <si>
    <t>فما معالم أثرية قريب من هوني</t>
  </si>
  <si>
    <t>من مبارح باليل هيك عندي من قبل كان كتير عادي سريع</t>
  </si>
  <si>
    <t>طب انا اتعشيت مرتين لسه جعانة</t>
  </si>
  <si>
    <t>تستاهل الخير يابمحمود تسلم يالغالي</t>
  </si>
  <si>
    <t>اله يبارك فيك خوي محي</t>
  </si>
  <si>
    <t>مصرين يزوجها باريش مع انو هي مبينة فرحانة بحبيبها اله يوفقها</t>
  </si>
  <si>
    <t>اخرتوا يعوي شوي يرجع يكن</t>
  </si>
  <si>
    <t>ارسلته لك ايميلك</t>
  </si>
  <si>
    <t>تراقب بي احد ضاربك بلوك</t>
  </si>
  <si>
    <t>حلقة العظيم محمديسرى سلامه يوميات ناشط اليكترونى اه ياباشا</t>
  </si>
  <si>
    <t>جون كيري جون فوربس كيري جون كيري من مواليد ديسمبر هو دبلوماسي أمريكي وسياسي ينتمي لحزب الديمقراطي يعتبر وزير خارجية لولايات المتحدة الحالي خدم سابقا في مجلس الشيوخ حيث ترأس لجنة مجلس الشيوخ الأمريكي لعلاقات الخارجية وكان كيري المرشح الديمقراطي لمنصب رئيس الولايات المتحدة في الانتخابات الرئاسية لعام حيث خسر بصعوبة أمام المرشح الجمهوري جورج دبليو بوش بفارق بسيط عينه اوباما وزيرا لخارجية الأمريكية منذ فبراير ثم أقر مجلس الشيوخ الأمريكي ترشيحه وزيرا لخارجية في يناير ليخلف هيلاري كلينتون أستلم المنصب رسميا في فبراير ولد كيري في أورورا كولورادو دخل</t>
  </si>
  <si>
    <t>نحب بوماضة متاع إيدين</t>
  </si>
  <si>
    <t>منطقة زمنية المنطقة الزمنية هي مقطع من سطح الأرض التي يطبق فيها توقيت واحد عادة يتم تقسيم المناطق الزمنية طوليا بالنسبة لكرة الأرضية ابتداء من القطب الشمالي وانتهاء في القطب الجنوبي مناطق القطبين الشمالي والجنوبي لا تبع أي منطقة زمنية معينة وبالنسبة لهم ينطبق التوقيت العالمي تعريف المنطقة الزمنية بإمكانه شمل عدة مواضيع تم الاتفاق في عام على اعتبار الخط الجغرافي الطولي المار بالمعهد الملكي الفلكي البريطاني في غرينيتش كالخط رقم صفر والذي من خلاله يتم احتساب الفروق الزمنية مع المناطق الأخرى ويعرف عالميا باسم توقيت جرينيتش أو التوقيت العالمي</t>
  </si>
  <si>
    <t>واخا خليك معايا فالخط السيد ناكاجيما كنظن بلي السيدة سايتو مكتجاوبش على المكالمة واش تبغيني نصونيلها لفترة أكثر</t>
  </si>
  <si>
    <t>اسم الفيلم لو أمكن مشكورة</t>
  </si>
  <si>
    <t>ابن طفيل ابن طفيل فيلسوف عالم طبيب عربي مسلم رجل دولة وهو من أعظم المفكرين العرب الذين خلفوا الأثار الخالدة في عدة ميادين منها الفلسفة الأدب الرياضيات الفلك الطب وقد عرف عند الغرب باسم كان من وزراء الموحدين في وقت عظمتهم أبو بكر محمد بن عبد الملك بن محمد بن محمد بن طفيل القيسي الأندلسي عربي من بني قيس عيلان بن مضر وينسب أيضا فيقال الأندلسي والقرطبي والإشبيلي ويكنى بأبي جعفر هو فيلسوف وفيزيائي وقاض أندلسي ولد في وادي آش على مسافة كم في الشمال الشرقي من قرطبة ثم تعلم</t>
  </si>
  <si>
    <t>حلوة بس مكره نقصت شوية بهار</t>
  </si>
  <si>
    <t>السر الدمعتين الي نزلتهم في التصفيات</t>
  </si>
  <si>
    <t>أهل قناة نجوم وينهم لحينهم عايشين اقصد الي يدزون مسجات</t>
  </si>
  <si>
    <t>رب اغفر لي لوالدي رب ارحمهما كما ربياني صغيرا</t>
  </si>
  <si>
    <t>تخيلو تويتر من دون هاشتاقات تافه تخيلوتويترمنغيربنات</t>
  </si>
  <si>
    <t>أود بعضا من النبيذ البرتغالي</t>
  </si>
  <si>
    <t>تسلم ضحكتك الحلوة يا كبيرة</t>
  </si>
  <si>
    <t>هبي بيرث دي انبسطي كلنا جاينا الدور</t>
  </si>
  <si>
    <t>اله يالدنيا الحينة كف صارت تعنيف</t>
  </si>
  <si>
    <t>حقج اذا انت احلى طلعه عندج تروحين لمدرسة وتوكعين من الدرج وين تعرفين النوارس مو طيور ثوله</t>
  </si>
  <si>
    <t>يقولون انهم بيفتحون الحدود</t>
  </si>
  <si>
    <t>حنا اذا ضيعنا الطريق نقصر على المسجل عشان نسمع الشارع</t>
  </si>
  <si>
    <t>ارزع علشان لس بيقولوا التستر عالفساد مفيش خط احمر عبر تطبيق زاجل</t>
  </si>
  <si>
    <t>تصحيح معلومات عن الحادث اتضح ان القتيل اخو القاتل السابق والقاتل بتاع النهارده اخو القتيل السابق وهكذا نستمر فى سلسال الدم</t>
  </si>
  <si>
    <t>مباراة بكره مهمة لان الخسارة او التعادل حتخلي الشك يبدا بدري ونخشوا في دوامة القلق بدري ومكن ما يطلع منه الفريق لانهم هم اصلا خاشين الموسم وهما في شك كبير</t>
  </si>
  <si>
    <t>قرت نفسخ شهر سبتمبر من عام فرحانة أنو أخيرا باش يخرج أكثر شهر تعبت فيه كنت فيه مشوشة خاصة السنة عام تخرج أقل شهر قريت فيه كتب أكثر شهر كنت فيه سلبية مكبلة قرت باش نبدأ الشهر الجديد بأكثر إيجابية وانظم وقتي نراجع روحي حسابات ربي يوفقني يوفقكم جميعا</t>
  </si>
  <si>
    <t>صحيح الا في حالات معينه الطفل الصغير الي تبين عليه علامات جفاف الكبير في السن الي عليه علامات جفاف النزيف</t>
  </si>
  <si>
    <t>نطري لين الشهر الي عقبه</t>
  </si>
  <si>
    <t>والا باله عليج هذيلا لعيبه ايبهم اقصد الي يسمونهم مقيمين ولا واحد فيهم عدل</t>
  </si>
  <si>
    <t>صباحك سعادة ريم وحشتيني</t>
  </si>
  <si>
    <t>ما بتصح الا تكتبيها تاني انتي الشفقة شنو ما تقريها أول الزول ده مزعلك شديد</t>
  </si>
  <si>
    <t>مظاهرات يونيو في مصر جرت مظاهرات يونيو في مصر في محافظات عدة نظمتها أحزاب وحركات معارضة لرئيس محمد مرسي توقيت المظاهرات كان محدا مسبقا منذ أسابيع طالب المتظاهرون برحيل الرئيس محمد مرسي الذي أمضى عاما واحدا في الحكم في يوم يوليو أعلن وزير الدفاع الفريق أول عبد الفتاح السيسي وقتها الإنقلاب على حكم محمد مرسي وتسليم السلطة لرئيس المحكمة الدستورية العليا المستشار عدلي منصور الذي رقى السيسي إلى رتبة المشير بعد ثمانية أشهر في اليوم الأول من التظاهرات وقع قتلى وجرحى وأحرقت مكاتب لجماعة الإخوان المسلمين ومقرها في المقطم بالقاهرة</t>
  </si>
  <si>
    <t>طريقك خدني وصلني</t>
  </si>
  <si>
    <t>طوب شنو اخوق قبيل مشا لبس خوصة بتاعة الشرطة بتاعة المظاهرات ديك</t>
  </si>
  <si>
    <t>متأكد وحق ربي هدو هبلو اي حاجة او انتقاد يقولو عليك دباب قطري ولا منعرف هدا السواعدة طار لهم الفريخ</t>
  </si>
  <si>
    <t>مسكين حالك شخص مثل هذا حرام اتعب نفسي وارد عليه بس كونك جاهل انا بعطيك واحد من الاسباب الي تخلينا نترفع عن الرد</t>
  </si>
  <si>
    <t>من فضلك أحضر أمتعتي إلى غرفتي</t>
  </si>
  <si>
    <t>خلي دبي تفيدها وزارة السعادة الي مسوينها</t>
  </si>
  <si>
    <t>صباح الخير وجمعة مباركة لسورية ولأهلها ولكل الي بيحبها</t>
  </si>
  <si>
    <t>ربنا اتنا في الدنيا حسنة وفي الاخرة حسنة وقنا عذاب النار</t>
  </si>
  <si>
    <t>لوغبت يومين عني قلت ليش ابطيت مهتم بك وانت ياليتك تهتم لولاك باشه زمانك كان ماتعنيت اله بلاني بحب انسان مايرحم علي القحطاني ابوعسكر</t>
  </si>
  <si>
    <t>واصله معاك حد السما أكتب هواك لناس فرض ونرجع نتم اليل غنا ونفرح سوا نعاتب بعض لو وجعنا الهوا وسرقنا في يوم الضنا السودانزمان</t>
  </si>
  <si>
    <t>شنبات خالوه عجبتني العباره</t>
  </si>
  <si>
    <t>اله يبارك بحياتج عمو الغاليه منون</t>
  </si>
  <si>
    <t>مافي كمية نجوم بمدريد نفس اليوفي حاليا كلهم صغار والنجوم ماراح يكملون لي الموسم القادم لانهم كبروا بالعمر</t>
  </si>
  <si>
    <t>انا اشوف البريكان لو عطى فرصه ويلعب بيكون مهاجم خطير</t>
  </si>
  <si>
    <t>تسلميلى نومى بوكل اليوم شوفتى ولا</t>
  </si>
  <si>
    <t>اله يساعد قلب اهلك</t>
  </si>
  <si>
    <t>ألف سلامه شافك اله وعافك ربنا يشفى كل مريض يارب</t>
  </si>
  <si>
    <t>نقولو أيا نروحو ناكلو كاش عفسة</t>
  </si>
  <si>
    <t>هيدا ابن جيرانا بالبناية انشاله يلاقوا</t>
  </si>
  <si>
    <t>أحب أبشرك اليوم رحلتي من جنوب الصين إلى السعودية وانا أتكلم مع الجالس جنبي قلت ليهو بتعرف سوار شعيب قال لي اموت فيهو انا اصلا وكمان طلع شاف الوثائقي مع العلم إن في الصين نزل بعد صباحا محبينك ومتابعينك حتى في الصين مالهم حد ربنا يوفقك دايما</t>
  </si>
  <si>
    <t>والصويره بن سلمان قاعد يشخر</t>
  </si>
  <si>
    <t>هالبوست يه في وقته</t>
  </si>
  <si>
    <t>اني اكثر انسان راحوا اله اهل من صدام ولكن صدام جان مامتستر ابدا وشوفي اشجاي يصير من العرب</t>
  </si>
  <si>
    <t>الي انا مرتبطة بيه حاليا اصغر مني بسنتين ومتفاهمين الحمدله وعادي اعرف ست متجوزة من سنة وهي اكبر من جوزها سنين ومتفاهمين والحياة حلوة العمر مجرد عد على فكرة بس المجتمع عامل منه حاجز لو بجد بتحبها مش هيهمك كلام الناس وهتكمل وتعيش حياتك بمزاجك وتبقى مبسوط</t>
  </si>
  <si>
    <t>إنتي بس رخ جسمك المي لحالها بترفعك الجملة الي خلتني ابلع نص البحر</t>
  </si>
  <si>
    <t>أكيد رانا سعداء كي نديروه</t>
  </si>
  <si>
    <t>من محاضرة الاورغنيك صباحو</t>
  </si>
  <si>
    <t>قلت نسبة الصرف متاعنا تقصد كل بانكة عندها نسبتها</t>
  </si>
  <si>
    <t>تحاسبني عالهمزة وتدافع عالكوارث والاخطاء الموجودة عندي اعترف فيها ولا اكابر على الخطأ</t>
  </si>
  <si>
    <t>قبل رمضان كنت خارجة مع جروب صحابي وشايلة اكياس كتير حطيتهم في عربية صحبتي ومعاهم المحفظة وركنا بعيد واتعشينا في فرايدايز وبعدها اتذكرت ان الشنطة مش معايا</t>
  </si>
  <si>
    <t>اني هم اگول أفلامهم هندية</t>
  </si>
  <si>
    <t>اله يرحمه ويغفرله ويجمعنا به في فردوسه برفقه الحبيب المصطفى ونزعنا مافي صدورهم من غل اخوان على سرمتقابلين</t>
  </si>
  <si>
    <t>كفاية ياست الك هاتشربي اكتر من كدا ايه</t>
  </si>
  <si>
    <t>عندك واجد فلوس حسن بش ضامنهن</t>
  </si>
  <si>
    <t>عبدالقادرلنهايوديني موفق موفق موفق قادر بإذن اله المركز الأول مايتعداك يارب ياله جمهوره شعلو أم التويتر</t>
  </si>
  <si>
    <t>هل لديك وقت اليلة</t>
  </si>
  <si>
    <t>ﺍﺣﻼ ﺣﺎﺟﻪ ﻓﻲ ﺍﻻﻧﺴﺎﻥ ﺍﻟﻴﻤﻨﻲ ﺍﻧﻪ ﻣﻤﻜﻦ ﻳﺸﻮﻑ ﻭﺍﺣﺪ ﻳﺴﻠﻢ ﻋﻠﻴﻪ ﻭﻳﺒﻮﺳﻪ ﻭﻳﺠﺎﺑﺮﻩ ﻭﻟﻮﻣﺎ ﻳﻤﺸﻲ ﻳﻘﻮﻟﻚ ﻣﻨﻬﻮ هذا</t>
  </si>
  <si>
    <t>ماقصر تميمالمجد ولاينلام اذا مدح المقيمين ولا نلومهم في حبه اكرمهم واكرموهم بما يستطيعون</t>
  </si>
  <si>
    <t>الاستفسار طبيعي واي اسئلة توجه لفكرة جديدة كمان مشروعة وعلى سلامتك انت ما اسأت ولا عقلك قاصر واعتقد كثير اشخاص كان عندهم نفس تساؤلاتك</t>
  </si>
  <si>
    <t>مروان صوتوا ضاع من غنايته مع نسيم حط فيها كل طاقته اما من كيفوا كل اسبوع تابلوا مدلعاته الاداره برشا برشا لا كدا اوفر</t>
  </si>
  <si>
    <t>انسرق مش بس واحد هاي ايموجين اله لا يوفقه الي سرقني</t>
  </si>
  <si>
    <t>ليشنحنا منعتبر انو كل الوزرا فاسدين الإ الوزير تبعنا</t>
  </si>
  <si>
    <t>هذا الشرموط ليش مايروح عمصر بلد المليون زقاصه يلعن شرفو</t>
  </si>
  <si>
    <t>وش دخل العاطلين وش دخل كم يعطونك هذا تدويل الحرمين عادي عندك اهم شي وظيفه شفت انك من مرتزقة عزمي هذي وظيفتگ</t>
  </si>
  <si>
    <t>مافي اطيب منو عمار الحقيقي بس البعض بيستغل المواقف عشان ينصب على الناس وهذا الي خلاني احذر</t>
  </si>
  <si>
    <t>بكفي هيك حرام واله عليهم</t>
  </si>
  <si>
    <t>يالي تقول الزين في بنت لبنان ترجع تقول الزين في المغربية تبي تشوف الزين الزين فتان لا طاحت الشيله عن الإماراتية</t>
  </si>
  <si>
    <t>كلام جميل وكلام معقول ما ماقدرش أقول حاجة عنه</t>
  </si>
  <si>
    <t>الاقصيفيقلبسلمان الكل تاجر بالقضية الفلسطينية وسلمان اول المتآمرين على الاقصى</t>
  </si>
  <si>
    <t>تاريخ الأرجنتين تاريخ الأرجنتين هو عبارة عن أحداث متسلسلة وقعت منذ الشعوب البدائية التي استوطنت المنطقة الحالية لجمهورية الأرجنتين حتى الوقت الحالي وقد تم اكتشاف شواهد لأناس عاشوا في الأرجنتين أقصى جنوب باتاغونيا منذ حوالي ألف سنة قبل الميلاد فقد تأست أولى الحضارات التي عاشت على الزراعة وصناعة السيراميك في شمال شرق الأنديز منذ القرن الثامن عشر قبل ميلاد المسيح يبدأ التأريخ مع سجلات الألماني أوليركو شميدل في بعثة خوان ديز دي سوليس سنة إلى ريو دي لا بلاتا حيث كان حدثا لحقته الهيمنة الإسبانية التي فرضت على هذا الجزء</t>
  </si>
  <si>
    <t>يعني جارسيا ضد يوفي قوي وعظيم حق المركز الثاني يعني سباليتي وجارسيا نفس الوضع</t>
  </si>
  <si>
    <t>لو بتقدر تشيل هموم الناس شيل أكبر قدر مكن وقول يارب وقتها أنت بتمنحهم أكبر قدر من السعادة ومن غير ما تحس</t>
  </si>
  <si>
    <t>اصل مش مكن بجد ملك الفرص الضائعة</t>
  </si>
  <si>
    <t>همة السنة رفعو السلاح بوجه الدولة دعمو الأرهاب من الشيعة شكلو حكومة دزو عليهم ونطوهم مناصب سيادية هنوبة شيعة منهم او بيهم هسة اتشوف اشلون ينطوهم وزارتين</t>
  </si>
  <si>
    <t>حتى تونس منهرده زينا</t>
  </si>
  <si>
    <t>صح لسانك يابومشاري وحق واجب ماسوينا شي جعلنا دايم عند حسن ظن الي مثلك وشرواك وكل شي بتدبير رب العالمين ماحنا الا سب</t>
  </si>
  <si>
    <t>آبلة آبلة بالإسبانية هي مدينة تقع في وسط إسبانيا هي عاصمة مقاطعة آبلة التابعة لمنطقة قشتالة وليون بلغ عد سكان مدينة آبلة نسمة عام وفقا لمعهد الوطني لإحصاء الإسباني</t>
  </si>
  <si>
    <t>الظاهر انا مودعين اليله</t>
  </si>
  <si>
    <t>جبهة النصر اعزك اله موتوا بغيظكم وتاكدوا انه حقكم ولا شي صفر بتخسر معه لانه مالكم قيمة عنده</t>
  </si>
  <si>
    <t>كان من الاحسن ان ايحبسو البالون خير على واش تفرج اعلى كرعين لمعيز</t>
  </si>
  <si>
    <t>ياسوبهان له نفس كلمتها بس نسيتي تكتبي اخر شي كل الرجال خونه</t>
  </si>
  <si>
    <t>سمارا أوبلاست سمارا أوبلاست هي إحدى الكيانات الفدرالية في روسيا وتحوي المدن والقرى التالية تشابايفسك كينيل نفتغورسك سمارا أوبلاست نوفوكويبيشفسك اوكتايابرسك اوترادناي سمارا أوبلاست بوخفيستنيفو سمارا روسيا سيزران تولياتي جيغوليوفسك</t>
  </si>
  <si>
    <t>وينك يا نافافس وينك يا بيبي</t>
  </si>
  <si>
    <t>كيف لطيف إن معلماتي الي مدرسيني قبل سنوات يتذكروني من اسم أختي</t>
  </si>
  <si>
    <t>لا تستفز شخص صبر عليك مره لان المره ال١٠ بتنتهي بكل بساطه ولا راح يلتفت لك ابدا</t>
  </si>
  <si>
    <t>يوم ما تعرف الادب والشعر سكت الي يخليك</t>
  </si>
  <si>
    <t>سلامتك هيوف تنذكر وماتنعاد ان شاء اله</t>
  </si>
  <si>
    <t>ان شاله توصل لهم الرساله قبل وصلهم جنيف تو صح لسانك يا ابن اليمن جبران باشا</t>
  </si>
  <si>
    <t>T4 Sentences</t>
  </si>
  <si>
    <t>T4 Answers</t>
  </si>
  <si>
    <t>T4 Percentage</t>
  </si>
  <si>
    <t>Trial</t>
  </si>
  <si>
    <t>Zero Shot</t>
  </si>
  <si>
    <t>Few Shot</t>
  </si>
  <si>
    <t>Average</t>
  </si>
  <si>
    <t>GPT 4o - Zero</t>
  </si>
  <si>
    <t>GPT 4o - Few</t>
  </si>
  <si>
    <t>Grok - Zero</t>
  </si>
  <si>
    <t>Grok - Few</t>
  </si>
  <si>
    <t>Fanar - Zero</t>
  </si>
  <si>
    <t>Fanar - Few</t>
  </si>
  <si>
    <t>DeepSeek - Zero</t>
  </si>
  <si>
    <t>DeepSeek - Few</t>
  </si>
  <si>
    <t>Qwen - Zero</t>
  </si>
  <si>
    <t>Qwen - Few</t>
  </si>
  <si>
    <t>Grok - TXT</t>
  </si>
  <si>
    <t>Grok - PDF</t>
  </si>
  <si>
    <t>DeepSeek - TXT</t>
  </si>
  <si>
    <t>DeepSeek -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</si>
</sst>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Calibri"/>
      <family val="2"/>
      <scheme val="minor"/>
    </font>
    <font>
      <sz val="11"/>
      <name val="Calibri"/>
      <family val="2"/>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Alignment="1">
      <alignment horizontal="center"/>
    </xf>
    <xf numFmtId="0" fontId="2" fillId="0" borderId="0" xfId="0" applyFont="1" applyAlignment="1">
      <alignment horizontal="center" vertical="top"/>
    </xf>
    <xf numFmtId="9" fontId="0" fillId="0" borderId="0" xfId="1" applyFont="1" applyAlignment="1">
      <alignment horizontal="center"/>
    </xf>
    <xf numFmtId="164" fontId="0" fillId="0" borderId="0" xfId="1" applyNumberFormat="1" applyFont="1" applyAlignment="1">
      <alignment horizontal="center"/>
    </xf>
    <xf numFmtId="165" fontId="0" fillId="0" borderId="0" xfId="1" applyNumberFormat="1" applyFont="1" applyAlignment="1">
      <alignment horizontal="center"/>
    </xf>
    <xf numFmtId="0" fontId="3" fillId="0" borderId="1" xfId="0" applyFont="1" applyBorder="1" applyAlignment="1">
      <alignment horizontal="center" vertical="top"/>
    </xf>
    <xf numFmtId="0" fontId="0" fillId="0" borderId="2" xfId="0" applyBorder="1" applyAlignment="1">
      <alignment wrapText="1"/>
    </xf>
    <xf numFmtId="0" fontId="0" fillId="0" borderId="2" xfId="0" applyBorder="1" applyAlignment="1">
      <alignment horizontal="center" wrapText="1"/>
    </xf>
    <xf numFmtId="10" fontId="0" fillId="0" borderId="2" xfId="0" applyNumberFormat="1" applyBorder="1" applyAlignment="1">
      <alignment horizontal="right" wrapText="1"/>
    </xf>
    <xf numFmtId="10" fontId="0" fillId="0" borderId="2" xfId="0" applyNumberFormat="1" applyBorder="1" applyAlignment="1">
      <alignment horizontal="center" wrapText="1"/>
    </xf>
    <xf numFmtId="9" fontId="0" fillId="0" borderId="2" xfId="0" applyNumberFormat="1" applyBorder="1" applyAlignment="1">
      <alignment horizontal="center" wrapText="1"/>
    </xf>
    <xf numFmtId="0" fontId="0" fillId="0" borderId="3" xfId="0" applyBorder="1" applyAlignment="1">
      <alignment wrapText="1"/>
    </xf>
    <xf numFmtId="0" fontId="0" fillId="0" borderId="0" xfId="0" applyAlignment="1">
      <alignment horizontal="center"/>
    </xf>
    <xf numFmtId="0" fontId="0" fillId="0" borderId="0" xfId="0" applyFill="1" applyBorder="1" applyAlignment="1">
      <alignment wrapText="1"/>
    </xf>
    <xf numFmtId="10" fontId="0" fillId="0" borderId="0" xfId="0" applyNumberFormat="1"/>
    <xf numFmtId="10" fontId="0" fillId="0" borderId="0" xfId="1" applyNumberFormat="1"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6600"/>
      <color rgb="FF993300"/>
      <color rgb="FFCC000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Intermediate Arabic Dialect Identification Tests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Sheet1!$A$2</c:f>
              <c:strCache>
                <c:ptCount val="1"/>
                <c:pt idx="0">
                  <c:v>Trial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Sheet1!$B$1:$K$1</c:f>
              <c:strCache>
                <c:ptCount val="10"/>
                <c:pt idx="0">
                  <c:v>GPT 4o - Zero</c:v>
                </c:pt>
                <c:pt idx="1">
                  <c:v>GPT 4o - Few</c:v>
                </c:pt>
                <c:pt idx="2">
                  <c:v>Grok - Zero</c:v>
                </c:pt>
                <c:pt idx="3">
                  <c:v>Grok - Few</c:v>
                </c:pt>
                <c:pt idx="4">
                  <c:v>Fanar - Zero</c:v>
                </c:pt>
                <c:pt idx="5">
                  <c:v>Fanar - Few</c:v>
                </c:pt>
                <c:pt idx="6">
                  <c:v>DeepSeek - Zero</c:v>
                </c:pt>
                <c:pt idx="7">
                  <c:v>DeepSeek - Few</c:v>
                </c:pt>
                <c:pt idx="8">
                  <c:v>Qwen - Zero</c:v>
                </c:pt>
                <c:pt idx="9">
                  <c:v>Qwen - Few</c:v>
                </c:pt>
              </c:strCache>
            </c:strRef>
          </c:cat>
          <c:val>
            <c:numRef>
              <c:f>Sheet1!$B$2:$K$2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31B-4C63-9A49-E57B491B8E23}"/>
            </c:ext>
          </c:extLst>
        </c:ser>
        <c:ser>
          <c:idx val="1"/>
          <c:order val="1"/>
          <c:tx>
            <c:strRef>
              <c:f>Sheet1!$A$3</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Sheet1!$B$1:$K$1</c:f>
              <c:strCache>
                <c:ptCount val="10"/>
                <c:pt idx="0">
                  <c:v>GPT 4o - Zero</c:v>
                </c:pt>
                <c:pt idx="1">
                  <c:v>GPT 4o - Few</c:v>
                </c:pt>
                <c:pt idx="2">
                  <c:v>Grok - Zero</c:v>
                </c:pt>
                <c:pt idx="3">
                  <c:v>Grok - Few</c:v>
                </c:pt>
                <c:pt idx="4">
                  <c:v>Fanar - Zero</c:v>
                </c:pt>
                <c:pt idx="5">
                  <c:v>Fanar - Few</c:v>
                </c:pt>
                <c:pt idx="6">
                  <c:v>DeepSeek - Zero</c:v>
                </c:pt>
                <c:pt idx="7">
                  <c:v>DeepSeek - Few</c:v>
                </c:pt>
                <c:pt idx="8">
                  <c:v>Qwen - Zero</c:v>
                </c:pt>
                <c:pt idx="9">
                  <c:v>Qwen - Few</c:v>
                </c:pt>
              </c:strCache>
            </c:strRef>
          </c:cat>
          <c:val>
            <c:numRef>
              <c:f>Sheet1!$B$3:$K$3</c:f>
              <c:numCache>
                <c:formatCode>0.00%</c:formatCode>
                <c:ptCount val="10"/>
                <c:pt idx="0">
                  <c:v>0.2571</c:v>
                </c:pt>
                <c:pt idx="1">
                  <c:v>0.3286</c:v>
                </c:pt>
                <c:pt idx="2">
                  <c:v>0.77139999999999997</c:v>
                </c:pt>
                <c:pt idx="3">
                  <c:v>0.81430000000000002</c:v>
                </c:pt>
                <c:pt idx="4">
                  <c:v>0.35709999999999997</c:v>
                </c:pt>
                <c:pt idx="5">
                  <c:v>0.48570000000000002</c:v>
                </c:pt>
                <c:pt idx="6">
                  <c:v>0.55710000000000004</c:v>
                </c:pt>
                <c:pt idx="7">
                  <c:v>0.72860000000000003</c:v>
                </c:pt>
                <c:pt idx="8">
                  <c:v>0.37140000000000001</c:v>
                </c:pt>
                <c:pt idx="9">
                  <c:v>0.5857</c:v>
                </c:pt>
              </c:numCache>
            </c:numRef>
          </c:val>
          <c:extLst>
            <c:ext xmlns:c16="http://schemas.microsoft.com/office/drawing/2014/chart" uri="{C3380CC4-5D6E-409C-BE32-E72D297353CC}">
              <c16:uniqueId val="{00000001-431B-4C63-9A49-E57B491B8E23}"/>
            </c:ext>
          </c:extLst>
        </c:ser>
        <c:ser>
          <c:idx val="2"/>
          <c:order val="2"/>
          <c:tx>
            <c:strRef>
              <c:f>Sheet1!$A$4</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Sheet1!$B$1:$K$1</c:f>
              <c:strCache>
                <c:ptCount val="10"/>
                <c:pt idx="0">
                  <c:v>GPT 4o - Zero</c:v>
                </c:pt>
                <c:pt idx="1">
                  <c:v>GPT 4o - Few</c:v>
                </c:pt>
                <c:pt idx="2">
                  <c:v>Grok - Zero</c:v>
                </c:pt>
                <c:pt idx="3">
                  <c:v>Grok - Few</c:v>
                </c:pt>
                <c:pt idx="4">
                  <c:v>Fanar - Zero</c:v>
                </c:pt>
                <c:pt idx="5">
                  <c:v>Fanar - Few</c:v>
                </c:pt>
                <c:pt idx="6">
                  <c:v>DeepSeek - Zero</c:v>
                </c:pt>
                <c:pt idx="7">
                  <c:v>DeepSeek - Few</c:v>
                </c:pt>
                <c:pt idx="8">
                  <c:v>Qwen - Zero</c:v>
                </c:pt>
                <c:pt idx="9">
                  <c:v>Qwen - Few</c:v>
                </c:pt>
              </c:strCache>
            </c:strRef>
          </c:cat>
          <c:val>
            <c:numRef>
              <c:f>Sheet1!$B$4:$K$4</c:f>
              <c:numCache>
                <c:formatCode>0.00%</c:formatCode>
                <c:ptCount val="10"/>
                <c:pt idx="0">
                  <c:v>0.39290000000000003</c:v>
                </c:pt>
                <c:pt idx="1">
                  <c:v>0.40710000000000002</c:v>
                </c:pt>
                <c:pt idx="2">
                  <c:v>0.72860000000000003</c:v>
                </c:pt>
                <c:pt idx="3">
                  <c:v>0.78569999999999995</c:v>
                </c:pt>
                <c:pt idx="4">
                  <c:v>0.38569999999999999</c:v>
                </c:pt>
                <c:pt idx="5">
                  <c:v>0.29289999999999999</c:v>
                </c:pt>
                <c:pt idx="6">
                  <c:v>0.6</c:v>
                </c:pt>
                <c:pt idx="7" formatCode="0%">
                  <c:v>0.7</c:v>
                </c:pt>
                <c:pt idx="8" formatCode="0%">
                  <c:v>0.45</c:v>
                </c:pt>
                <c:pt idx="9">
                  <c:v>0.47139999999999999</c:v>
                </c:pt>
              </c:numCache>
            </c:numRef>
          </c:val>
          <c:extLst>
            <c:ext xmlns:c16="http://schemas.microsoft.com/office/drawing/2014/chart" uri="{C3380CC4-5D6E-409C-BE32-E72D297353CC}">
              <c16:uniqueId val="{00000002-431B-4C63-9A49-E57B491B8E23}"/>
            </c:ext>
          </c:extLst>
        </c:ser>
        <c:ser>
          <c:idx val="3"/>
          <c:order val="3"/>
          <c:tx>
            <c:strRef>
              <c:f>Sheet1!$A$5</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Sheet1!$B$1:$K$1</c:f>
              <c:strCache>
                <c:ptCount val="10"/>
                <c:pt idx="0">
                  <c:v>GPT 4o - Zero</c:v>
                </c:pt>
                <c:pt idx="1">
                  <c:v>GPT 4o - Few</c:v>
                </c:pt>
                <c:pt idx="2">
                  <c:v>Grok - Zero</c:v>
                </c:pt>
                <c:pt idx="3">
                  <c:v>Grok - Few</c:v>
                </c:pt>
                <c:pt idx="4">
                  <c:v>Fanar - Zero</c:v>
                </c:pt>
                <c:pt idx="5">
                  <c:v>Fanar - Few</c:v>
                </c:pt>
                <c:pt idx="6">
                  <c:v>DeepSeek - Zero</c:v>
                </c:pt>
                <c:pt idx="7">
                  <c:v>DeepSeek - Few</c:v>
                </c:pt>
                <c:pt idx="8">
                  <c:v>Qwen - Zero</c:v>
                </c:pt>
                <c:pt idx="9">
                  <c:v>Qwen - Few</c:v>
                </c:pt>
              </c:strCache>
            </c:strRef>
          </c:cat>
          <c:val>
            <c:numRef>
              <c:f>Sheet1!$B$5:$K$5</c:f>
              <c:numCache>
                <c:formatCode>0.00%</c:formatCode>
                <c:ptCount val="10"/>
                <c:pt idx="0">
                  <c:v>0.61429999999999996</c:v>
                </c:pt>
                <c:pt idx="1">
                  <c:v>0.20949999999999999</c:v>
                </c:pt>
                <c:pt idx="2">
                  <c:v>0.7238</c:v>
                </c:pt>
                <c:pt idx="3">
                  <c:v>0.76670000000000005</c:v>
                </c:pt>
                <c:pt idx="4">
                  <c:v>0.34760000000000002</c:v>
                </c:pt>
                <c:pt idx="5">
                  <c:v>0.33329999999999999</c:v>
                </c:pt>
                <c:pt idx="6">
                  <c:v>0.56669999999999998</c:v>
                </c:pt>
                <c:pt idx="7">
                  <c:v>0.57140000000000002</c:v>
                </c:pt>
                <c:pt idx="8">
                  <c:v>0.40479999999999999</c:v>
                </c:pt>
                <c:pt idx="9">
                  <c:v>0.45240000000000002</c:v>
                </c:pt>
              </c:numCache>
            </c:numRef>
          </c:val>
          <c:extLst>
            <c:ext xmlns:c16="http://schemas.microsoft.com/office/drawing/2014/chart" uri="{C3380CC4-5D6E-409C-BE32-E72D297353CC}">
              <c16:uniqueId val="{00000003-431B-4C63-9A49-E57B491B8E23}"/>
            </c:ext>
          </c:extLst>
        </c:ser>
        <c:ser>
          <c:idx val="4"/>
          <c:order val="4"/>
          <c:tx>
            <c:strRef>
              <c:f>Sheet1!$A$6</c:f>
              <c:strCache>
                <c:ptCount val="1"/>
                <c:pt idx="0">
                  <c:v>Average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Sheet1!$B$1:$K$1</c:f>
              <c:strCache>
                <c:ptCount val="10"/>
                <c:pt idx="0">
                  <c:v>GPT 4o - Zero</c:v>
                </c:pt>
                <c:pt idx="1">
                  <c:v>GPT 4o - Few</c:v>
                </c:pt>
                <c:pt idx="2">
                  <c:v>Grok - Zero</c:v>
                </c:pt>
                <c:pt idx="3">
                  <c:v>Grok - Few</c:v>
                </c:pt>
                <c:pt idx="4">
                  <c:v>Fanar - Zero</c:v>
                </c:pt>
                <c:pt idx="5">
                  <c:v>Fanar - Few</c:v>
                </c:pt>
                <c:pt idx="6">
                  <c:v>DeepSeek - Zero</c:v>
                </c:pt>
                <c:pt idx="7">
                  <c:v>DeepSeek - Few</c:v>
                </c:pt>
                <c:pt idx="8">
                  <c:v>Qwen - Zero</c:v>
                </c:pt>
                <c:pt idx="9">
                  <c:v>Qwen - Few</c:v>
                </c:pt>
              </c:strCache>
            </c:strRef>
          </c:cat>
          <c:val>
            <c:numRef>
              <c:f>Sheet1!$B$6:$K$6</c:f>
              <c:numCache>
                <c:formatCode>0.00%</c:formatCode>
                <c:ptCount val="10"/>
                <c:pt idx="0">
                  <c:v>0.4214</c:v>
                </c:pt>
                <c:pt idx="1">
                  <c:v>0.31509999999999999</c:v>
                </c:pt>
                <c:pt idx="2">
                  <c:v>0.74129999999999996</c:v>
                </c:pt>
                <c:pt idx="3">
                  <c:v>0.78890000000000005</c:v>
                </c:pt>
                <c:pt idx="4">
                  <c:v>0.36349999999999999</c:v>
                </c:pt>
                <c:pt idx="5">
                  <c:v>0.37059999999999998</c:v>
                </c:pt>
                <c:pt idx="6">
                  <c:v>0.5746</c:v>
                </c:pt>
                <c:pt idx="7">
                  <c:v>0.66669999999999996</c:v>
                </c:pt>
                <c:pt idx="8">
                  <c:v>0.40870000000000001</c:v>
                </c:pt>
                <c:pt idx="9">
                  <c:v>0.50319999999999998</c:v>
                </c:pt>
              </c:numCache>
            </c:numRef>
          </c:val>
          <c:extLst>
            <c:ext xmlns:c16="http://schemas.microsoft.com/office/drawing/2014/chart" uri="{C3380CC4-5D6E-409C-BE32-E72D297353CC}">
              <c16:uniqueId val="{00000004-431B-4C63-9A49-E57B491B8E23}"/>
            </c:ext>
          </c:extLst>
        </c:ser>
        <c:dLbls>
          <c:showLegendKey val="0"/>
          <c:showVal val="0"/>
          <c:showCatName val="0"/>
          <c:showSerName val="0"/>
          <c:showPercent val="0"/>
          <c:showBubbleSize val="0"/>
        </c:dLbls>
        <c:gapWidth val="100"/>
        <c:overlap val="-24"/>
        <c:axId val="648760112"/>
        <c:axId val="556303024"/>
      </c:barChart>
      <c:catAx>
        <c:axId val="648760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6303024"/>
        <c:crosses val="autoZero"/>
        <c:auto val="1"/>
        <c:lblAlgn val="ctr"/>
        <c:lblOffset val="100"/>
        <c:noMultiLvlLbl val="0"/>
      </c:catAx>
      <c:valAx>
        <c:axId val="55630302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6011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Final ADD Tests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Sheet1!$M$1:$P$1</c:f>
              <c:strCache>
                <c:ptCount val="4"/>
                <c:pt idx="0">
                  <c:v>Grok - TXT</c:v>
                </c:pt>
                <c:pt idx="1">
                  <c:v>Grok - PDF</c:v>
                </c:pt>
                <c:pt idx="2">
                  <c:v>DeepSeek - TXT</c:v>
                </c:pt>
                <c:pt idx="3">
                  <c:v>DeepSeek - PDF</c:v>
                </c:pt>
              </c:strCache>
            </c:strRef>
          </c:cat>
          <c:val>
            <c:numRef>
              <c:f>Sheet1!$M$2:$P$2</c:f>
              <c:numCache>
                <c:formatCode>0.00%</c:formatCode>
                <c:ptCount val="4"/>
                <c:pt idx="0">
                  <c:v>0.53673469387755102</c:v>
                </c:pt>
                <c:pt idx="1">
                  <c:v>0.52244897959183678</c:v>
                </c:pt>
                <c:pt idx="2">
                  <c:v>0.51632653061224487</c:v>
                </c:pt>
                <c:pt idx="3">
                  <c:v>0.51224489795918371</c:v>
                </c:pt>
              </c:numCache>
            </c:numRef>
          </c:val>
          <c:extLst>
            <c:ext xmlns:c16="http://schemas.microsoft.com/office/drawing/2014/chart" uri="{C3380CC4-5D6E-409C-BE32-E72D297353CC}">
              <c16:uniqueId val="{00000000-3E3D-41EB-8057-2596CD331818}"/>
            </c:ext>
          </c:extLst>
        </c:ser>
        <c:dLbls>
          <c:showLegendKey val="0"/>
          <c:showVal val="0"/>
          <c:showCatName val="0"/>
          <c:showSerName val="0"/>
          <c:showPercent val="0"/>
          <c:showBubbleSize val="0"/>
        </c:dLbls>
        <c:gapWidth val="100"/>
        <c:overlap val="-24"/>
        <c:axId val="1681217920"/>
        <c:axId val="1453136240"/>
      </c:barChart>
      <c:catAx>
        <c:axId val="1681217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136240"/>
        <c:crosses val="autoZero"/>
        <c:auto val="1"/>
        <c:lblAlgn val="ctr"/>
        <c:lblOffset val="100"/>
        <c:noMultiLvlLbl val="0"/>
      </c:catAx>
      <c:valAx>
        <c:axId val="1453136240"/>
        <c:scaling>
          <c:orientation val="minMax"/>
          <c:max val="1"/>
          <c:min val="0"/>
        </c:scaling>
        <c:delete val="0"/>
        <c:axPos val="l"/>
        <c:majorGridlines>
          <c:spPr>
            <a:ln w="9525" cap="flat" cmpd="sng" algn="ctr">
              <a:solidFill>
                <a:schemeClr val="lt1">
                  <a:lumMod val="95000"/>
                  <a:alpha val="1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217920"/>
        <c:crosses val="autoZero"/>
        <c:crossBetween val="between"/>
        <c:min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68580</xdr:colOff>
      <xdr:row>6</xdr:row>
      <xdr:rowOff>129540</xdr:rowOff>
    </xdr:from>
    <xdr:to>
      <xdr:col>9</xdr:col>
      <xdr:colOff>175260</xdr:colOff>
      <xdr:row>21</xdr:row>
      <xdr:rowOff>129540</xdr:rowOff>
    </xdr:to>
    <xdr:graphicFrame macro="">
      <xdr:nvGraphicFramePr>
        <xdr:cNvPr id="2" name="Chart 1">
          <a:extLst>
            <a:ext uri="{FF2B5EF4-FFF2-40B4-BE49-F238E27FC236}">
              <a16:creationId xmlns:a16="http://schemas.microsoft.com/office/drawing/2014/main" id="{E9B9D935-8E6E-E86D-3642-A7446D826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182880</xdr:colOff>
      <xdr:row>6</xdr:row>
      <xdr:rowOff>121920</xdr:rowOff>
    </xdr:from>
    <xdr:to>
      <xdr:col>17</xdr:col>
      <xdr:colOff>487680</xdr:colOff>
      <xdr:row>21</xdr:row>
      <xdr:rowOff>121920</xdr:rowOff>
    </xdr:to>
    <xdr:graphicFrame macro="">
      <xdr:nvGraphicFramePr>
        <xdr:cNvPr id="3" name="Chart 2">
          <a:extLst>
            <a:ext uri="{FF2B5EF4-FFF2-40B4-BE49-F238E27FC236}">
              <a16:creationId xmlns:a16="http://schemas.microsoft.com/office/drawing/2014/main" id="{63F66B8A-6A4F-1134-1387-79664B577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D09-267F-42B2-9FA7-7C4D20F22CCE}">
  <dimension ref="A1:K492"/>
  <sheetViews>
    <sheetView topLeftCell="C1" zoomScale="85" zoomScaleNormal="85" workbookViewId="0">
      <selection activeCell="J2" sqref="J2"/>
    </sheetView>
  </sheetViews>
  <sheetFormatPr defaultRowHeight="14.4" x14ac:dyDescent="0.3"/>
  <cols>
    <col min="1" max="1" width="5.44140625" bestFit="1" customWidth="1"/>
    <col min="2" max="2" width="151.109375" bestFit="1" customWidth="1"/>
    <col min="3" max="3" width="15" style="1" bestFit="1" customWidth="1"/>
    <col min="4" max="4" width="14.109375" bestFit="1" customWidth="1"/>
    <col min="5" max="5" width="13.6640625" bestFit="1" customWidth="1"/>
    <col min="6" max="6" width="10.44140625" bestFit="1" customWidth="1"/>
    <col min="8" max="8" width="16.88671875" bestFit="1" customWidth="1"/>
    <col min="9" max="9" width="11" bestFit="1" customWidth="1"/>
    <col min="10" max="10" width="13" bestFit="1" customWidth="1"/>
    <col min="11" max="11" width="21" bestFit="1" customWidth="1"/>
  </cols>
  <sheetData>
    <row r="1" spans="1:11" x14ac:dyDescent="0.3">
      <c r="A1" s="1" t="s">
        <v>75</v>
      </c>
      <c r="B1" s="6" t="s">
        <v>248</v>
      </c>
      <c r="C1" s="2" t="s">
        <v>235</v>
      </c>
      <c r="D1" s="1" t="s">
        <v>246</v>
      </c>
      <c r="E1" s="2" t="s">
        <v>247</v>
      </c>
      <c r="F1" s="1" t="s">
        <v>3</v>
      </c>
      <c r="H1" s="1" t="s">
        <v>739</v>
      </c>
      <c r="I1" s="1" t="s">
        <v>740</v>
      </c>
      <c r="J1" s="1" t="s">
        <v>741</v>
      </c>
    </row>
    <row r="2" spans="1:11" x14ac:dyDescent="0.3">
      <c r="A2" s="1">
        <v>1</v>
      </c>
      <c r="B2" t="s">
        <v>249</v>
      </c>
      <c r="C2" s="1" t="str">
        <f>_xlfn.IFS(LEN(B2) &lt;= 25, "Short", AND(LEN(B2) &gt; 25, LEN(B2) &lt;= 50), "Medium", LEN(B2) &gt; 50, "Long")</f>
        <v>Long</v>
      </c>
      <c r="D2" t="s">
        <v>81</v>
      </c>
      <c r="E2" t="s">
        <v>242</v>
      </c>
      <c r="F2" s="1" t="b">
        <f>IF(D2=E2, TRUE, FALSE)</f>
        <v>0</v>
      </c>
      <c r="H2" s="1">
        <v>490</v>
      </c>
      <c r="I2" s="1">
        <f>COUNTIF(F2:F491, TRUE)</f>
        <v>263</v>
      </c>
      <c r="J2" s="4">
        <f>I2/H2</f>
        <v>0.53673469387755102</v>
      </c>
    </row>
    <row r="3" spans="1:11" x14ac:dyDescent="0.3">
      <c r="A3" s="1">
        <v>2</v>
      </c>
      <c r="B3" t="s">
        <v>250</v>
      </c>
      <c r="C3" s="1" t="str">
        <f>_xlfn.IFS(LEN(B3) &lt;= 25, "Short", AND(LEN(B3) &gt; 25, LEN(B3) &lt;= 50), "Medium", LEN(B3) &gt; 50, "Long")</f>
        <v>Long</v>
      </c>
      <c r="D3" t="s">
        <v>77</v>
      </c>
      <c r="E3" t="s">
        <v>77</v>
      </c>
      <c r="F3" s="1" t="b">
        <f t="shared" ref="F3:F66" si="0">IF(D3=E3, TRUE, FALSE)</f>
        <v>1</v>
      </c>
    </row>
    <row r="4" spans="1:11" x14ac:dyDescent="0.3">
      <c r="A4" s="1">
        <v>3</v>
      </c>
      <c r="B4" t="s">
        <v>251</v>
      </c>
      <c r="C4" s="1" t="str" cm="1">
        <f t="array" ref="C4">_xlfn.IFS(LEN(B4) &lt;= 25, "Short", AND(LEN(B4) &gt; 25, LEN(B4) &lt;= 50), "Medium", LEN(B4) &gt; 50, "Long")</f>
        <v>Medium</v>
      </c>
      <c r="D4" t="s">
        <v>79</v>
      </c>
      <c r="E4" t="s">
        <v>242</v>
      </c>
      <c r="F4" s="1" t="b">
        <f t="shared" si="0"/>
        <v>0</v>
      </c>
      <c r="H4" s="13" t="s">
        <v>228</v>
      </c>
      <c r="I4" s="13"/>
      <c r="J4" s="13"/>
      <c r="K4" s="13"/>
    </row>
    <row r="5" spans="1:11" x14ac:dyDescent="0.3">
      <c r="A5" s="1">
        <v>4</v>
      </c>
      <c r="B5" t="s">
        <v>252</v>
      </c>
      <c r="C5" s="1" t="str" cm="1">
        <f t="array" ref="C5">_xlfn.IFS(LEN(B5) &lt;= 25, "Short", AND(LEN(B5) &gt; 25, LEN(B5) &lt;= 50), "Medium", LEN(B5) &gt; 50, "Long")</f>
        <v>Long</v>
      </c>
      <c r="D5" t="s">
        <v>77</v>
      </c>
      <c r="E5" t="s">
        <v>242</v>
      </c>
      <c r="F5" s="1" t="b">
        <f t="shared" si="0"/>
        <v>0</v>
      </c>
      <c r="H5" s="1" t="s">
        <v>0</v>
      </c>
      <c r="I5" s="1" t="s">
        <v>229</v>
      </c>
      <c r="J5" s="1" t="s">
        <v>230</v>
      </c>
      <c r="K5" s="1" t="s">
        <v>83</v>
      </c>
    </row>
    <row r="6" spans="1:11" x14ac:dyDescent="0.3">
      <c r="A6" s="1">
        <v>5</v>
      </c>
      <c r="B6" t="s">
        <v>253</v>
      </c>
      <c r="C6" s="1" t="str" cm="1">
        <f t="array" ref="C6">_xlfn.IFS(LEN(B6) &lt;= 25, "Short", AND(LEN(B6) &gt; 25, LEN(B6) &lt;= 50), "Medium", LEN(B6) &gt; 50, "Long")</f>
        <v>Medium</v>
      </c>
      <c r="D6" t="s">
        <v>79</v>
      </c>
      <c r="E6" t="s">
        <v>242</v>
      </c>
      <c r="F6" s="1" t="b">
        <f t="shared" si="0"/>
        <v>0</v>
      </c>
      <c r="H6" s="1" t="s">
        <v>242</v>
      </c>
      <c r="I6" s="1">
        <f t="shared" ref="I6:I12" si="1">COUNTIF($E$2:$E$491,H6)</f>
        <v>70</v>
      </c>
      <c r="J6" s="1">
        <f t="shared" ref="J6:J12" si="2">COUNTIFS($E$2:$E$491, H6, $D$2:$D$491, H6)</f>
        <v>20</v>
      </c>
      <c r="K6" s="3">
        <f>J6/I6</f>
        <v>0.2857142857142857</v>
      </c>
    </row>
    <row r="7" spans="1:11" x14ac:dyDescent="0.3">
      <c r="A7" s="1">
        <v>6</v>
      </c>
      <c r="B7" t="s">
        <v>254</v>
      </c>
      <c r="C7" s="1" t="str" cm="1">
        <f t="array" ref="C7">_xlfn.IFS(LEN(B7) &lt;= 25, "Short", AND(LEN(B7) &gt; 25, LEN(B7) &lt;= 50), "Medium", LEN(B7) &gt; 50, "Long")</f>
        <v>Long</v>
      </c>
      <c r="D7" t="s">
        <v>77</v>
      </c>
      <c r="E7" t="s">
        <v>79</v>
      </c>
      <c r="F7" s="1" t="b">
        <f t="shared" si="0"/>
        <v>0</v>
      </c>
      <c r="H7" s="1" t="s">
        <v>81</v>
      </c>
      <c r="I7" s="1">
        <f t="shared" si="1"/>
        <v>70</v>
      </c>
      <c r="J7" s="1">
        <f t="shared" si="2"/>
        <v>60</v>
      </c>
      <c r="K7" s="3">
        <f t="shared" ref="K7:K12" si="3">J7/I7</f>
        <v>0.8571428571428571</v>
      </c>
    </row>
    <row r="8" spans="1:11" x14ac:dyDescent="0.3">
      <c r="A8" s="1">
        <v>7</v>
      </c>
      <c r="B8" t="s">
        <v>255</v>
      </c>
      <c r="C8" s="1" t="str" cm="1">
        <f t="array" ref="C8">_xlfn.IFS(LEN(B8) &lt;= 25, "Short", AND(LEN(B8) &gt; 25, LEN(B8) &lt;= 50), "Medium", LEN(B8) &gt; 50, "Long")</f>
        <v>Long</v>
      </c>
      <c r="D8" t="s">
        <v>81</v>
      </c>
      <c r="E8" t="s">
        <v>81</v>
      </c>
      <c r="F8" s="1" t="b">
        <f t="shared" si="0"/>
        <v>1</v>
      </c>
      <c r="H8" s="1" t="s">
        <v>79</v>
      </c>
      <c r="I8" s="1">
        <f t="shared" si="1"/>
        <v>70</v>
      </c>
      <c r="J8" s="1">
        <f t="shared" si="2"/>
        <v>34</v>
      </c>
      <c r="K8" s="3">
        <f t="shared" si="3"/>
        <v>0.48571428571428571</v>
      </c>
    </row>
    <row r="9" spans="1:11" x14ac:dyDescent="0.3">
      <c r="A9" s="1">
        <v>8</v>
      </c>
      <c r="B9" t="s">
        <v>256</v>
      </c>
      <c r="C9" s="1" t="str" cm="1">
        <f t="array" ref="C9">_xlfn.IFS(LEN(B9) &lt;= 25, "Short", AND(LEN(B9) &gt; 25, LEN(B9) &lt;= 50), "Medium", LEN(B9) &gt; 50, "Long")</f>
        <v>Long</v>
      </c>
      <c r="D9" t="s">
        <v>81</v>
      </c>
      <c r="E9" t="s">
        <v>81</v>
      </c>
      <c r="F9" s="1" t="b">
        <f t="shared" si="0"/>
        <v>1</v>
      </c>
      <c r="H9" s="1" t="s">
        <v>77</v>
      </c>
      <c r="I9" s="1">
        <f t="shared" si="1"/>
        <v>70</v>
      </c>
      <c r="J9" s="1">
        <f t="shared" si="2"/>
        <v>34</v>
      </c>
      <c r="K9" s="3">
        <f t="shared" si="3"/>
        <v>0.48571428571428571</v>
      </c>
    </row>
    <row r="10" spans="1:11" x14ac:dyDescent="0.3">
      <c r="A10" s="1">
        <v>9</v>
      </c>
      <c r="B10" t="s">
        <v>257</v>
      </c>
      <c r="C10" s="1" t="str" cm="1">
        <f t="array" ref="C10">_xlfn.IFS(LEN(B10) &lt;= 25, "Short", AND(LEN(B10) &gt; 25, LEN(B10) &lt;= 50), "Medium", LEN(B10) &gt; 50, "Long")</f>
        <v>Long</v>
      </c>
      <c r="D10" t="s">
        <v>79</v>
      </c>
      <c r="E10" t="s">
        <v>242</v>
      </c>
      <c r="F10" s="1" t="b">
        <f t="shared" si="0"/>
        <v>0</v>
      </c>
      <c r="H10" s="1" t="s">
        <v>82</v>
      </c>
      <c r="I10" s="1">
        <f t="shared" si="1"/>
        <v>70</v>
      </c>
      <c r="J10" s="1">
        <f t="shared" si="2"/>
        <v>11</v>
      </c>
      <c r="K10" s="3">
        <f t="shared" si="3"/>
        <v>0.15714285714285714</v>
      </c>
    </row>
    <row r="11" spans="1:11" x14ac:dyDescent="0.3">
      <c r="A11" s="1">
        <v>10</v>
      </c>
      <c r="B11" t="s">
        <v>258</v>
      </c>
      <c r="C11" s="1" t="str" cm="1">
        <f t="array" ref="C11">_xlfn.IFS(LEN(B11) &lt;= 25, "Short", AND(LEN(B11) &gt; 25, LEN(B11) &lt;= 50), "Medium", LEN(B11) &gt; 50, "Long")</f>
        <v>Long</v>
      </c>
      <c r="D11" t="s">
        <v>76</v>
      </c>
      <c r="E11" t="s">
        <v>81</v>
      </c>
      <c r="F11" s="1" t="b">
        <f t="shared" si="0"/>
        <v>0</v>
      </c>
      <c r="H11" s="1" t="s">
        <v>80</v>
      </c>
      <c r="I11" s="1">
        <f t="shared" si="1"/>
        <v>70</v>
      </c>
      <c r="J11" s="1">
        <f t="shared" si="2"/>
        <v>35</v>
      </c>
      <c r="K11" s="3">
        <f t="shared" si="3"/>
        <v>0.5</v>
      </c>
    </row>
    <row r="12" spans="1:11" x14ac:dyDescent="0.3">
      <c r="A12" s="1">
        <v>11</v>
      </c>
      <c r="B12" t="s">
        <v>259</v>
      </c>
      <c r="C12" s="1" t="str" cm="1">
        <f t="array" ref="C12">_xlfn.IFS(LEN(B12) &lt;= 25, "Short", AND(LEN(B12) &gt; 25, LEN(B12) &lt;= 50), "Medium", LEN(B12) &gt; 50, "Long")</f>
        <v>Medium</v>
      </c>
      <c r="D12" t="s">
        <v>80</v>
      </c>
      <c r="E12" t="s">
        <v>80</v>
      </c>
      <c r="F12" s="1" t="b">
        <f t="shared" si="0"/>
        <v>1</v>
      </c>
      <c r="H12" s="1" t="s">
        <v>76</v>
      </c>
      <c r="I12" s="1">
        <f t="shared" si="1"/>
        <v>70</v>
      </c>
      <c r="J12" s="1">
        <f t="shared" si="2"/>
        <v>69</v>
      </c>
      <c r="K12" s="3">
        <f t="shared" si="3"/>
        <v>0.98571428571428577</v>
      </c>
    </row>
    <row r="13" spans="1:11" x14ac:dyDescent="0.3">
      <c r="A13" s="1">
        <v>12</v>
      </c>
      <c r="B13" t="s">
        <v>260</v>
      </c>
      <c r="C13" s="1" t="str" cm="1">
        <f t="array" ref="C13">_xlfn.IFS(LEN(B13) &lt;= 25, "Short", AND(LEN(B13) &gt; 25, LEN(B13) &lt;= 50), "Medium", LEN(B13) &gt; 50, "Long")</f>
        <v>Long</v>
      </c>
      <c r="D13" t="s">
        <v>77</v>
      </c>
      <c r="E13" t="s">
        <v>80</v>
      </c>
      <c r="F13" s="1" t="b">
        <f t="shared" si="0"/>
        <v>0</v>
      </c>
    </row>
    <row r="14" spans="1:11" x14ac:dyDescent="0.3">
      <c r="A14" s="1">
        <v>13</v>
      </c>
      <c r="B14" t="s">
        <v>261</v>
      </c>
      <c r="C14" s="1" t="str" cm="1">
        <f t="array" ref="C14">_xlfn.IFS(LEN(B14) &lt;= 25, "Short", AND(LEN(B14) &gt; 25, LEN(B14) &lt;= 50), "Medium", LEN(B14) &gt; 50, "Long")</f>
        <v>Short</v>
      </c>
      <c r="D14" t="s">
        <v>79</v>
      </c>
      <c r="E14" t="s">
        <v>242</v>
      </c>
      <c r="F14" s="1" t="b">
        <f t="shared" si="0"/>
        <v>0</v>
      </c>
      <c r="H14" s="1" t="s">
        <v>231</v>
      </c>
      <c r="I14" s="1" t="s">
        <v>229</v>
      </c>
      <c r="J14" s="1" t="s">
        <v>230</v>
      </c>
      <c r="K14" s="1" t="s">
        <v>83</v>
      </c>
    </row>
    <row r="15" spans="1:11" x14ac:dyDescent="0.3">
      <c r="A15" s="1">
        <v>14</v>
      </c>
      <c r="B15" t="s">
        <v>262</v>
      </c>
      <c r="C15" s="1" t="str" cm="1">
        <f t="array" ref="C15">_xlfn.IFS(LEN(B15) &lt;= 25, "Short", AND(LEN(B15) &gt; 25, LEN(B15) &lt;= 50), "Medium", LEN(B15) &gt; 50, "Long")</f>
        <v>Long</v>
      </c>
      <c r="D15" t="s">
        <v>81</v>
      </c>
      <c r="E15" t="s">
        <v>77</v>
      </c>
      <c r="F15" s="1" t="b">
        <f t="shared" si="0"/>
        <v>0</v>
      </c>
      <c r="H15" s="1" t="s">
        <v>245</v>
      </c>
      <c r="I15" s="1">
        <f>COUNTIF(C2:C491, H15)</f>
        <v>94</v>
      </c>
      <c r="J15" s="1">
        <f>COUNTIFS(C2:C491, H15, F2:F491, TRUE)</f>
        <v>36</v>
      </c>
      <c r="K15" s="4">
        <f>J15/I15</f>
        <v>0.38297872340425532</v>
      </c>
    </row>
    <row r="16" spans="1:11" x14ac:dyDescent="0.3">
      <c r="A16" s="1">
        <v>15</v>
      </c>
      <c r="B16" t="s">
        <v>263</v>
      </c>
      <c r="C16" s="1" t="str" cm="1">
        <f t="array" ref="C16">_xlfn.IFS(LEN(B16) &lt;= 25, "Short", AND(LEN(B16) &gt; 25, LEN(B16) &lt;= 50), "Medium", LEN(B16) &gt; 50, "Long")</f>
        <v>Long</v>
      </c>
      <c r="D16" t="s">
        <v>76</v>
      </c>
      <c r="E16" t="s">
        <v>76</v>
      </c>
      <c r="F16" s="1" t="b">
        <f t="shared" si="0"/>
        <v>1</v>
      </c>
      <c r="H16" s="1" t="s">
        <v>244</v>
      </c>
      <c r="I16" s="1">
        <f>COUNTIFS(C2:C491, H16)</f>
        <v>135</v>
      </c>
      <c r="J16" s="1">
        <f>COUNTIFS(C2:C491, H16, F2:F491, TRUE)</f>
        <v>58</v>
      </c>
      <c r="K16" s="4">
        <f t="shared" ref="K16:K17" si="4">J16/I16</f>
        <v>0.42962962962962964</v>
      </c>
    </row>
    <row r="17" spans="1:11" x14ac:dyDescent="0.3">
      <c r="A17" s="1">
        <v>16</v>
      </c>
      <c r="B17" t="s">
        <v>264</v>
      </c>
      <c r="C17" s="1" t="str" cm="1">
        <f t="array" ref="C17">_xlfn.IFS(LEN(B17) &lt;= 25, "Short", AND(LEN(B17) &gt; 25, LEN(B17) &lt;= 50), "Medium", LEN(B17) &gt; 50, "Long")</f>
        <v>Long</v>
      </c>
      <c r="D17" t="s">
        <v>77</v>
      </c>
      <c r="E17" t="s">
        <v>80</v>
      </c>
      <c r="F17" s="1" t="b">
        <f t="shared" si="0"/>
        <v>0</v>
      </c>
      <c r="H17" s="1" t="s">
        <v>243</v>
      </c>
      <c r="I17" s="1">
        <f>COUNTIF(C2:C491, H17)</f>
        <v>261</v>
      </c>
      <c r="J17" s="1">
        <f>COUNTIFS(C2:C491, H17, F2:F491, TRUE)</f>
        <v>169</v>
      </c>
      <c r="K17" s="4">
        <f t="shared" si="4"/>
        <v>0.64750957854406133</v>
      </c>
    </row>
    <row r="18" spans="1:11" x14ac:dyDescent="0.3">
      <c r="A18" s="1">
        <v>17</v>
      </c>
      <c r="B18" t="s">
        <v>265</v>
      </c>
      <c r="C18" s="1" t="str" cm="1">
        <f t="array" ref="C18">_xlfn.IFS(LEN(B18) &lt;= 25, "Short", AND(LEN(B18) &gt; 25, LEN(B18) &lt;= 50), "Medium", LEN(B18) &gt; 50, "Long")</f>
        <v>Long</v>
      </c>
      <c r="D18" t="s">
        <v>242</v>
      </c>
      <c r="E18" t="s">
        <v>242</v>
      </c>
      <c r="F18" s="1" t="b">
        <f t="shared" si="0"/>
        <v>1</v>
      </c>
    </row>
    <row r="19" spans="1:11" x14ac:dyDescent="0.3">
      <c r="A19" s="1">
        <v>18</v>
      </c>
      <c r="B19" t="s">
        <v>266</v>
      </c>
      <c r="C19" s="1" t="str" cm="1">
        <f t="array" ref="C19">_xlfn.IFS(LEN(B19) &lt;= 25, "Short", AND(LEN(B19) &gt; 25, LEN(B19) &lt;= 50), "Medium", LEN(B19) &gt; 50, "Long")</f>
        <v>Long</v>
      </c>
      <c r="D19" t="s">
        <v>242</v>
      </c>
      <c r="E19" t="s">
        <v>242</v>
      </c>
      <c r="F19" s="1" t="b">
        <f t="shared" si="0"/>
        <v>1</v>
      </c>
      <c r="H19" s="13" t="s">
        <v>238</v>
      </c>
      <c r="I19" s="13"/>
    </row>
    <row r="20" spans="1:11" x14ac:dyDescent="0.3">
      <c r="A20" s="1">
        <v>19</v>
      </c>
      <c r="B20" t="s">
        <v>267</v>
      </c>
      <c r="C20" s="1" t="str" cm="1">
        <f t="array" ref="C20">_xlfn.IFS(LEN(B20) &lt;= 25, "Short", AND(LEN(B20) &gt; 25, LEN(B20) &lt;= 50), "Medium", LEN(B20) &gt; 50, "Long")</f>
        <v>Long</v>
      </c>
      <c r="D20" t="s">
        <v>81</v>
      </c>
      <c r="E20" t="s">
        <v>81</v>
      </c>
      <c r="F20" s="1" t="b">
        <f t="shared" si="0"/>
        <v>1</v>
      </c>
      <c r="H20" s="1" t="s">
        <v>239</v>
      </c>
      <c r="I20" s="1" t="s">
        <v>240</v>
      </c>
      <c r="J20" s="1" t="s">
        <v>237</v>
      </c>
      <c r="K20" s="1" t="s">
        <v>241</v>
      </c>
    </row>
    <row r="21" spans="1:11" x14ac:dyDescent="0.3">
      <c r="A21" s="1">
        <v>20</v>
      </c>
      <c r="B21" t="s">
        <v>268</v>
      </c>
      <c r="C21" s="1" t="str" cm="1">
        <f t="array" ref="C21">_xlfn.IFS(LEN(B21) &lt;= 25, "Short", AND(LEN(B21) &gt; 25, LEN(B21) &lt;= 50), "Medium", LEN(B21) &gt; 50, "Long")</f>
        <v>Long</v>
      </c>
      <c r="D21" t="s">
        <v>77</v>
      </c>
      <c r="E21" t="s">
        <v>77</v>
      </c>
      <c r="F21" s="1" t="b">
        <f t="shared" si="0"/>
        <v>1</v>
      </c>
      <c r="H21" s="1" t="s">
        <v>80</v>
      </c>
      <c r="I21" s="1" t="s">
        <v>77</v>
      </c>
      <c r="J21" s="1">
        <f>COUNTIFS($D$2:$D$491, I21, $E$2:$E$491, H21)</f>
        <v>12</v>
      </c>
      <c r="K21" s="5">
        <f>J21/I11</f>
        <v>0.17142857142857143</v>
      </c>
    </row>
    <row r="22" spans="1:11" x14ac:dyDescent="0.3">
      <c r="A22" s="1">
        <v>21</v>
      </c>
      <c r="B22" t="s">
        <v>269</v>
      </c>
      <c r="C22" s="1" t="str" cm="1">
        <f t="array" ref="C22">_xlfn.IFS(LEN(B22) &lt;= 25, "Short", AND(LEN(B22) &gt; 25, LEN(B22) &lt;= 50), "Medium", LEN(B22) &gt; 50, "Long")</f>
        <v>Long</v>
      </c>
      <c r="D22" t="s">
        <v>77</v>
      </c>
      <c r="E22" t="s">
        <v>82</v>
      </c>
      <c r="F22" s="1" t="b">
        <f t="shared" si="0"/>
        <v>0</v>
      </c>
      <c r="H22" s="1" t="s">
        <v>236</v>
      </c>
      <c r="I22" s="1" t="s">
        <v>77</v>
      </c>
      <c r="J22" s="1">
        <f>COUNTIFS($D$2:$D$491, I22, $E$2:$E$491, H22)</f>
        <v>0</v>
      </c>
      <c r="K22" s="5">
        <f>J22/I10</f>
        <v>0</v>
      </c>
    </row>
    <row r="23" spans="1:11" x14ac:dyDescent="0.3">
      <c r="A23" s="1">
        <v>22</v>
      </c>
      <c r="B23" t="s">
        <v>270</v>
      </c>
      <c r="C23" s="1" t="str" cm="1">
        <f t="array" ref="C23">_xlfn.IFS(LEN(B23) &lt;= 25, "Short", AND(LEN(B23) &gt; 25, LEN(B23) &lt;= 50), "Medium", LEN(B23) &gt; 50, "Long")</f>
        <v>Short</v>
      </c>
      <c r="D23" t="s">
        <v>76</v>
      </c>
      <c r="E23" t="s">
        <v>79</v>
      </c>
      <c r="F23" s="1" t="b">
        <f t="shared" si="0"/>
        <v>0</v>
      </c>
      <c r="H23" s="1" t="s">
        <v>77</v>
      </c>
      <c r="I23" s="1" t="s">
        <v>80</v>
      </c>
      <c r="J23" s="1">
        <f>COUNTIFS($D$2:$D$491, I23, $E$2:$E$491, H23)</f>
        <v>2</v>
      </c>
      <c r="K23" s="5">
        <f>J23/I9</f>
        <v>2.8571428571428571E-2</v>
      </c>
    </row>
    <row r="24" spans="1:11" x14ac:dyDescent="0.3">
      <c r="A24" s="1">
        <v>23</v>
      </c>
      <c r="B24" t="s">
        <v>271</v>
      </c>
      <c r="C24" s="1" t="str" cm="1">
        <f t="array" ref="C24">_xlfn.IFS(LEN(B24) &lt;= 25, "Short", AND(LEN(B24) &gt; 25, LEN(B24) &lt;= 50), "Medium", LEN(B24) &gt; 50, "Long")</f>
        <v>Long</v>
      </c>
      <c r="D24" t="s">
        <v>81</v>
      </c>
      <c r="E24" t="s">
        <v>242</v>
      </c>
      <c r="F24" s="1" t="b">
        <f t="shared" si="0"/>
        <v>0</v>
      </c>
      <c r="H24" s="1" t="s">
        <v>77</v>
      </c>
      <c r="I24" s="1" t="s">
        <v>236</v>
      </c>
      <c r="J24" s="1">
        <f t="shared" ref="J24:J32" si="5">COUNTIFS($D$2:$D$491, I24, $E$2:$E$491, H24)</f>
        <v>0</v>
      </c>
      <c r="K24" s="5">
        <f>J24/I9</f>
        <v>0</v>
      </c>
    </row>
    <row r="25" spans="1:11" x14ac:dyDescent="0.3">
      <c r="A25" s="1">
        <v>24</v>
      </c>
      <c r="B25" t="s">
        <v>272</v>
      </c>
      <c r="C25" s="1" t="str" cm="1">
        <f t="array" ref="C25">_xlfn.IFS(LEN(B25) &lt;= 25, "Short", AND(LEN(B25) &gt; 25, LEN(B25) &lt;= 50), "Medium", LEN(B25) &gt; 50, "Long")</f>
        <v>Medium</v>
      </c>
      <c r="D25" t="s">
        <v>76</v>
      </c>
      <c r="E25" t="s">
        <v>76</v>
      </c>
      <c r="F25" s="1" t="b">
        <f t="shared" si="0"/>
        <v>1</v>
      </c>
      <c r="H25" s="1" t="s">
        <v>242</v>
      </c>
      <c r="I25" s="1" t="s">
        <v>81</v>
      </c>
      <c r="J25" s="1">
        <f t="shared" si="5"/>
        <v>20</v>
      </c>
      <c r="K25" s="5">
        <f>J25/I6</f>
        <v>0.2857142857142857</v>
      </c>
    </row>
    <row r="26" spans="1:11" x14ac:dyDescent="0.3">
      <c r="A26" s="1">
        <v>25</v>
      </c>
      <c r="B26" t="s">
        <v>273</v>
      </c>
      <c r="C26" s="1" t="str" cm="1">
        <f t="array" ref="C26">_xlfn.IFS(LEN(B26) &lt;= 25, "Short", AND(LEN(B26) &gt; 25, LEN(B26) &lt;= 50), "Medium", LEN(B26) &gt; 50, "Long")</f>
        <v>Long</v>
      </c>
      <c r="D26" t="s">
        <v>81</v>
      </c>
      <c r="E26" t="s">
        <v>81</v>
      </c>
      <c r="F26" s="1" t="b">
        <f t="shared" si="0"/>
        <v>1</v>
      </c>
      <c r="H26" s="1" t="s">
        <v>81</v>
      </c>
      <c r="I26" s="1" t="s">
        <v>242</v>
      </c>
      <c r="J26" s="1">
        <f t="shared" si="5"/>
        <v>0</v>
      </c>
      <c r="K26" s="5">
        <f>J26/I7</f>
        <v>0</v>
      </c>
    </row>
    <row r="27" spans="1:11" x14ac:dyDescent="0.3">
      <c r="A27" s="1">
        <v>26</v>
      </c>
      <c r="B27" t="s">
        <v>274</v>
      </c>
      <c r="C27" s="1" t="str" cm="1">
        <f t="array" ref="C27">_xlfn.IFS(LEN(B27) &lt;= 25, "Short", AND(LEN(B27) &gt; 25, LEN(B27) &lt;= 50), "Medium", LEN(B27) &gt; 50, "Long")</f>
        <v>Medium</v>
      </c>
      <c r="D27" t="s">
        <v>77</v>
      </c>
      <c r="E27" t="s">
        <v>80</v>
      </c>
      <c r="F27" s="1" t="b">
        <f t="shared" si="0"/>
        <v>0</v>
      </c>
      <c r="H27" s="1" t="s">
        <v>80</v>
      </c>
      <c r="I27" s="1" t="s">
        <v>236</v>
      </c>
      <c r="J27" s="1">
        <f t="shared" si="5"/>
        <v>0</v>
      </c>
      <c r="K27" s="5">
        <f>J27/I11</f>
        <v>0</v>
      </c>
    </row>
    <row r="28" spans="1:11" x14ac:dyDescent="0.3">
      <c r="A28" s="1">
        <v>27</v>
      </c>
      <c r="B28" t="s">
        <v>275</v>
      </c>
      <c r="C28" s="1" t="str" cm="1">
        <f t="array" ref="C28">_xlfn.IFS(LEN(B28) &lt;= 25, "Short", AND(LEN(B28) &gt; 25, LEN(B28) &lt;= 50), "Medium", LEN(B28) &gt; 50, "Long")</f>
        <v>Long</v>
      </c>
      <c r="D28" t="s">
        <v>81</v>
      </c>
      <c r="E28" t="s">
        <v>81</v>
      </c>
      <c r="F28" s="1" t="b">
        <f t="shared" si="0"/>
        <v>1</v>
      </c>
      <c r="H28" s="1" t="s">
        <v>236</v>
      </c>
      <c r="I28" s="1" t="s">
        <v>80</v>
      </c>
      <c r="J28" s="1">
        <f t="shared" si="5"/>
        <v>0</v>
      </c>
      <c r="K28" s="5">
        <f>J28/I10</f>
        <v>0</v>
      </c>
    </row>
    <row r="29" spans="1:11" x14ac:dyDescent="0.3">
      <c r="A29" s="1">
        <v>28</v>
      </c>
      <c r="B29" t="s">
        <v>276</v>
      </c>
      <c r="C29" s="1" t="str" cm="1">
        <f t="array" ref="C29">_xlfn.IFS(LEN(B29) &lt;= 25, "Short", AND(LEN(B29) &gt; 25, LEN(B29) &lt;= 50), "Medium", LEN(B29) &gt; 50, "Long")</f>
        <v>Long</v>
      </c>
      <c r="D29" t="s">
        <v>82</v>
      </c>
      <c r="E29" t="s">
        <v>82</v>
      </c>
      <c r="F29" s="1" t="b">
        <f t="shared" si="0"/>
        <v>1</v>
      </c>
      <c r="H29" s="1" t="s">
        <v>76</v>
      </c>
      <c r="I29" s="1" t="s">
        <v>236</v>
      </c>
      <c r="J29" s="1">
        <f t="shared" si="5"/>
        <v>0</v>
      </c>
      <c r="K29" s="5">
        <f>J29/I12</f>
        <v>0</v>
      </c>
    </row>
    <row r="30" spans="1:11" x14ac:dyDescent="0.3">
      <c r="A30" s="1">
        <v>29</v>
      </c>
      <c r="B30" t="s">
        <v>277</v>
      </c>
      <c r="C30" s="1" t="str" cm="1">
        <f t="array" ref="C30">_xlfn.IFS(LEN(B30) &lt;= 25, "Short", AND(LEN(B30) &gt; 25, LEN(B30) &lt;= 50), "Medium", LEN(B30) &gt; 50, "Long")</f>
        <v>Long</v>
      </c>
      <c r="D30" t="s">
        <v>77</v>
      </c>
      <c r="E30" t="s">
        <v>82</v>
      </c>
      <c r="F30" s="1" t="b">
        <f t="shared" si="0"/>
        <v>0</v>
      </c>
      <c r="H30" s="1" t="s">
        <v>236</v>
      </c>
      <c r="I30" s="1" t="s">
        <v>76</v>
      </c>
      <c r="J30" s="1">
        <f t="shared" si="5"/>
        <v>0</v>
      </c>
      <c r="K30" s="5">
        <f>J30/I10</f>
        <v>0</v>
      </c>
    </row>
    <row r="31" spans="1:11" x14ac:dyDescent="0.3">
      <c r="A31" s="1">
        <v>30</v>
      </c>
      <c r="B31" t="s">
        <v>278</v>
      </c>
      <c r="C31" s="1" t="str" cm="1">
        <f t="array" ref="C31">_xlfn.IFS(LEN(B31) &lt;= 25, "Short", AND(LEN(B31) &gt; 25, LEN(B31) &lt;= 50), "Medium", LEN(B31) &gt; 50, "Long")</f>
        <v>Long</v>
      </c>
      <c r="D31" t="s">
        <v>79</v>
      </c>
      <c r="E31" t="s">
        <v>77</v>
      </c>
      <c r="F31" s="1" t="b">
        <f t="shared" si="0"/>
        <v>0</v>
      </c>
      <c r="H31" s="1" t="s">
        <v>76</v>
      </c>
      <c r="I31" s="1" t="s">
        <v>80</v>
      </c>
      <c r="J31" s="1">
        <f t="shared" si="5"/>
        <v>1</v>
      </c>
      <c r="K31" s="5">
        <f>J31/I12</f>
        <v>1.4285714285714285E-2</v>
      </c>
    </row>
    <row r="32" spans="1:11" x14ac:dyDescent="0.3">
      <c r="A32" s="1">
        <v>31</v>
      </c>
      <c r="B32" t="s">
        <v>279</v>
      </c>
      <c r="C32" s="1" t="str" cm="1">
        <f t="array" ref="C32">_xlfn.IFS(LEN(B32) &lt;= 25, "Short", AND(LEN(B32) &gt; 25, LEN(B32) &lt;= 50), "Medium", LEN(B32) &gt; 50, "Long")</f>
        <v>Long</v>
      </c>
      <c r="D32" t="s">
        <v>77</v>
      </c>
      <c r="E32" t="s">
        <v>77</v>
      </c>
      <c r="F32" s="1" t="b">
        <f t="shared" si="0"/>
        <v>1</v>
      </c>
      <c r="H32" s="1" t="s">
        <v>80</v>
      </c>
      <c r="I32" s="1" t="s">
        <v>76</v>
      </c>
      <c r="J32" s="1">
        <f t="shared" si="5"/>
        <v>8</v>
      </c>
      <c r="K32" s="5">
        <f>J32/I11</f>
        <v>0.11428571428571428</v>
      </c>
    </row>
    <row r="33" spans="1:6" x14ac:dyDescent="0.3">
      <c r="A33" s="1">
        <v>32</v>
      </c>
      <c r="B33" t="s">
        <v>280</v>
      </c>
      <c r="C33" s="1" t="str" cm="1">
        <f t="array" ref="C33">_xlfn.IFS(LEN(B33) &lt;= 25, "Short", AND(LEN(B33) &gt; 25, LEN(B33) &lt;= 50), "Medium", LEN(B33) &gt; 50, "Long")</f>
        <v>Long</v>
      </c>
      <c r="D33" t="s">
        <v>77</v>
      </c>
      <c r="E33" t="s">
        <v>77</v>
      </c>
      <c r="F33" s="1" t="b">
        <f t="shared" si="0"/>
        <v>1</v>
      </c>
    </row>
    <row r="34" spans="1:6" x14ac:dyDescent="0.3">
      <c r="A34" s="1">
        <v>33</v>
      </c>
      <c r="B34" t="s">
        <v>281</v>
      </c>
      <c r="C34" s="1" t="str" cm="1">
        <f t="array" ref="C34">_xlfn.IFS(LEN(B34) &lt;= 25, "Short", AND(LEN(B34) &gt; 25, LEN(B34) &lt;= 50), "Medium", LEN(B34) &gt; 50, "Long")</f>
        <v>Medium</v>
      </c>
      <c r="D34" t="s">
        <v>76</v>
      </c>
      <c r="E34" t="s">
        <v>77</v>
      </c>
      <c r="F34" s="1" t="b">
        <f t="shared" si="0"/>
        <v>0</v>
      </c>
    </row>
    <row r="35" spans="1:6" x14ac:dyDescent="0.3">
      <c r="A35" s="1">
        <v>34</v>
      </c>
      <c r="B35" t="s">
        <v>282</v>
      </c>
      <c r="C35" s="1" t="str" cm="1">
        <f t="array" ref="C35">_xlfn.IFS(LEN(B35) &lt;= 25, "Short", AND(LEN(B35) &gt; 25, LEN(B35) &lt;= 50), "Medium", LEN(B35) &gt; 50, "Long")</f>
        <v>Medium</v>
      </c>
      <c r="D35" t="s">
        <v>79</v>
      </c>
      <c r="E35" t="s">
        <v>77</v>
      </c>
      <c r="F35" s="1" t="b">
        <f t="shared" si="0"/>
        <v>0</v>
      </c>
    </row>
    <row r="36" spans="1:6" x14ac:dyDescent="0.3">
      <c r="A36" s="1">
        <v>35</v>
      </c>
      <c r="B36" t="s">
        <v>283</v>
      </c>
      <c r="C36" s="1" t="str" cm="1">
        <f t="array" ref="C36">_xlfn.IFS(LEN(B36) &lt;= 25, "Short", AND(LEN(B36) &gt; 25, LEN(B36) &lt;= 50), "Medium", LEN(B36) &gt; 50, "Long")</f>
        <v>Medium</v>
      </c>
      <c r="D36" t="s">
        <v>81</v>
      </c>
      <c r="E36" t="s">
        <v>79</v>
      </c>
      <c r="F36" s="1" t="b">
        <f t="shared" si="0"/>
        <v>0</v>
      </c>
    </row>
    <row r="37" spans="1:6" x14ac:dyDescent="0.3">
      <c r="A37" s="1">
        <v>36</v>
      </c>
      <c r="B37" t="s">
        <v>284</v>
      </c>
      <c r="C37" s="1" t="str" cm="1">
        <f t="array" ref="C37">_xlfn.IFS(LEN(B37) &lt;= 25, "Short", AND(LEN(B37) &gt; 25, LEN(B37) &lt;= 50), "Medium", LEN(B37) &gt; 50, "Long")</f>
        <v>Short</v>
      </c>
      <c r="D37" t="s">
        <v>76</v>
      </c>
      <c r="E37" t="s">
        <v>76</v>
      </c>
      <c r="F37" s="1" t="b">
        <f t="shared" si="0"/>
        <v>1</v>
      </c>
    </row>
    <row r="38" spans="1:6" x14ac:dyDescent="0.3">
      <c r="A38" s="1">
        <v>37</v>
      </c>
      <c r="B38" t="s">
        <v>285</v>
      </c>
      <c r="C38" s="1" t="str" cm="1">
        <f t="array" ref="C38">_xlfn.IFS(LEN(B38) &lt;= 25, "Short", AND(LEN(B38) &gt; 25, LEN(B38) &lt;= 50), "Medium", LEN(B38) &gt; 50, "Long")</f>
        <v>Long</v>
      </c>
      <c r="D38" t="s">
        <v>79</v>
      </c>
      <c r="E38" t="s">
        <v>79</v>
      </c>
      <c r="F38" s="1" t="b">
        <f t="shared" si="0"/>
        <v>1</v>
      </c>
    </row>
    <row r="39" spans="1:6" x14ac:dyDescent="0.3">
      <c r="A39" s="1">
        <v>38</v>
      </c>
      <c r="B39" t="s">
        <v>286</v>
      </c>
      <c r="C39" s="1" t="str" cm="1">
        <f t="array" ref="C39">_xlfn.IFS(LEN(B39) &lt;= 25, "Short", AND(LEN(B39) &gt; 25, LEN(B39) &lt;= 50), "Medium", LEN(B39) &gt; 50, "Long")</f>
        <v>Long</v>
      </c>
      <c r="D39" t="s">
        <v>80</v>
      </c>
      <c r="E39" t="s">
        <v>80</v>
      </c>
      <c r="F39" s="1" t="b">
        <f t="shared" si="0"/>
        <v>1</v>
      </c>
    </row>
    <row r="40" spans="1:6" x14ac:dyDescent="0.3">
      <c r="A40" s="1">
        <v>39</v>
      </c>
      <c r="B40" t="s">
        <v>287</v>
      </c>
      <c r="C40" s="1" t="str" cm="1">
        <f t="array" ref="C40">_xlfn.IFS(LEN(B40) &lt;= 25, "Short", AND(LEN(B40) &gt; 25, LEN(B40) &lt;= 50), "Medium", LEN(B40) &gt; 50, "Long")</f>
        <v>Long</v>
      </c>
      <c r="D40" t="s">
        <v>79</v>
      </c>
      <c r="E40" t="s">
        <v>79</v>
      </c>
      <c r="F40" s="1" t="b">
        <f t="shared" si="0"/>
        <v>1</v>
      </c>
    </row>
    <row r="41" spans="1:6" x14ac:dyDescent="0.3">
      <c r="A41" s="1">
        <v>40</v>
      </c>
      <c r="B41" t="s">
        <v>288</v>
      </c>
      <c r="C41" s="1" t="str" cm="1">
        <f t="array" ref="C41">_xlfn.IFS(LEN(B41) &lt;= 25, "Short", AND(LEN(B41) &gt; 25, LEN(B41) &lt;= 50), "Medium", LEN(B41) &gt; 50, "Long")</f>
        <v>Long</v>
      </c>
      <c r="D41" t="s">
        <v>80</v>
      </c>
      <c r="E41" t="s">
        <v>80</v>
      </c>
      <c r="F41" s="1" t="b">
        <f t="shared" si="0"/>
        <v>1</v>
      </c>
    </row>
    <row r="42" spans="1:6" x14ac:dyDescent="0.3">
      <c r="A42" s="1">
        <v>41</v>
      </c>
      <c r="B42" t="s">
        <v>289</v>
      </c>
      <c r="C42" s="1" t="str" cm="1">
        <f t="array" ref="C42">_xlfn.IFS(LEN(B42) &lt;= 25, "Short", AND(LEN(B42) &gt; 25, LEN(B42) &lt;= 50), "Medium", LEN(B42) &gt; 50, "Long")</f>
        <v>Short</v>
      </c>
      <c r="D42" t="s">
        <v>79</v>
      </c>
      <c r="E42" t="s">
        <v>80</v>
      </c>
      <c r="F42" s="1" t="b">
        <f t="shared" si="0"/>
        <v>0</v>
      </c>
    </row>
    <row r="43" spans="1:6" x14ac:dyDescent="0.3">
      <c r="A43" s="1">
        <v>42</v>
      </c>
      <c r="B43" t="s">
        <v>290</v>
      </c>
      <c r="C43" s="1" t="str" cm="1">
        <f t="array" ref="C43">_xlfn.IFS(LEN(B43) &lt;= 25, "Short", AND(LEN(B43) &gt; 25, LEN(B43) &lt;= 50), "Medium", LEN(B43) &gt; 50, "Long")</f>
        <v>Long</v>
      </c>
      <c r="D43" t="s">
        <v>81</v>
      </c>
      <c r="E43" t="s">
        <v>81</v>
      </c>
      <c r="F43" s="1" t="b">
        <f t="shared" si="0"/>
        <v>1</v>
      </c>
    </row>
    <row r="44" spans="1:6" x14ac:dyDescent="0.3">
      <c r="A44" s="1">
        <v>43</v>
      </c>
      <c r="B44" t="s">
        <v>291</v>
      </c>
      <c r="C44" s="1" t="str" cm="1">
        <f t="array" ref="C44">_xlfn.IFS(LEN(B44) &lt;= 25, "Short", AND(LEN(B44) &gt; 25, LEN(B44) &lt;= 50), "Medium", LEN(B44) &gt; 50, "Long")</f>
        <v>Medium</v>
      </c>
      <c r="D44" t="s">
        <v>79</v>
      </c>
      <c r="E44" t="s">
        <v>82</v>
      </c>
      <c r="F44" s="1" t="b">
        <f t="shared" si="0"/>
        <v>0</v>
      </c>
    </row>
    <row r="45" spans="1:6" x14ac:dyDescent="0.3">
      <c r="A45" s="1">
        <v>44</v>
      </c>
      <c r="B45" t="s">
        <v>292</v>
      </c>
      <c r="C45" s="1" t="str" cm="1">
        <f t="array" ref="C45">_xlfn.IFS(LEN(B45) &lt;= 25, "Short", AND(LEN(B45) &gt; 25, LEN(B45) &lt;= 50), "Medium", LEN(B45) &gt; 50, "Long")</f>
        <v>Long</v>
      </c>
      <c r="D45" t="s">
        <v>76</v>
      </c>
      <c r="E45" t="s">
        <v>76</v>
      </c>
      <c r="F45" s="1" t="b">
        <f t="shared" si="0"/>
        <v>1</v>
      </c>
    </row>
    <row r="46" spans="1:6" x14ac:dyDescent="0.3">
      <c r="A46" s="1">
        <v>45</v>
      </c>
      <c r="B46" t="s">
        <v>293</v>
      </c>
      <c r="C46" s="1" t="str" cm="1">
        <f t="array" ref="C46">_xlfn.IFS(LEN(B46) &lt;= 25, "Short", AND(LEN(B46) &gt; 25, LEN(B46) &lt;= 50), "Medium", LEN(B46) &gt; 50, "Long")</f>
        <v>Medium</v>
      </c>
      <c r="D46" t="s">
        <v>79</v>
      </c>
      <c r="E46" t="s">
        <v>79</v>
      </c>
      <c r="F46" s="1" t="b">
        <f t="shared" si="0"/>
        <v>1</v>
      </c>
    </row>
    <row r="47" spans="1:6" x14ac:dyDescent="0.3">
      <c r="A47" s="1">
        <v>46</v>
      </c>
      <c r="B47" t="s">
        <v>294</v>
      </c>
      <c r="C47" s="1" t="str" cm="1">
        <f t="array" ref="C47">_xlfn.IFS(LEN(B47) &lt;= 25, "Short", AND(LEN(B47) &gt; 25, LEN(B47) &lt;= 50), "Medium", LEN(B47) &gt; 50, "Long")</f>
        <v>Long</v>
      </c>
      <c r="D47" t="s">
        <v>76</v>
      </c>
      <c r="E47" t="s">
        <v>76</v>
      </c>
      <c r="F47" s="1" t="b">
        <f t="shared" si="0"/>
        <v>1</v>
      </c>
    </row>
    <row r="48" spans="1:6" x14ac:dyDescent="0.3">
      <c r="A48" s="1">
        <v>47</v>
      </c>
      <c r="B48" t="s">
        <v>295</v>
      </c>
      <c r="C48" s="1" t="str" cm="1">
        <f t="array" ref="C48">_xlfn.IFS(LEN(B48) &lt;= 25, "Short", AND(LEN(B48) &gt; 25, LEN(B48) &lt;= 50), "Medium", LEN(B48) &gt; 50, "Long")</f>
        <v>Long</v>
      </c>
      <c r="D48" t="s">
        <v>79</v>
      </c>
      <c r="E48" t="s">
        <v>79</v>
      </c>
      <c r="F48" s="1" t="b">
        <f t="shared" si="0"/>
        <v>1</v>
      </c>
    </row>
    <row r="49" spans="1:6" x14ac:dyDescent="0.3">
      <c r="A49" s="1">
        <v>48</v>
      </c>
      <c r="B49" t="s">
        <v>296</v>
      </c>
      <c r="C49" s="1" t="str" cm="1">
        <f t="array" ref="C49">_xlfn.IFS(LEN(B49) &lt;= 25, "Short", AND(LEN(B49) &gt; 25, LEN(B49) &lt;= 50), "Medium", LEN(B49) &gt; 50, "Long")</f>
        <v>Medium</v>
      </c>
      <c r="D49" t="s">
        <v>81</v>
      </c>
      <c r="E49" t="s">
        <v>242</v>
      </c>
      <c r="F49" s="1" t="b">
        <f t="shared" si="0"/>
        <v>0</v>
      </c>
    </row>
    <row r="50" spans="1:6" x14ac:dyDescent="0.3">
      <c r="A50" s="1">
        <v>49</v>
      </c>
      <c r="B50" t="s">
        <v>297</v>
      </c>
      <c r="C50" s="1" t="str" cm="1">
        <f t="array" ref="C50">_xlfn.IFS(LEN(B50) &lt;= 25, "Short", AND(LEN(B50) &gt; 25, LEN(B50) &lt;= 50), "Medium", LEN(B50) &gt; 50, "Long")</f>
        <v>Medium</v>
      </c>
      <c r="D50" t="s">
        <v>81</v>
      </c>
      <c r="E50" t="s">
        <v>242</v>
      </c>
      <c r="F50" s="1" t="b">
        <f t="shared" si="0"/>
        <v>0</v>
      </c>
    </row>
    <row r="51" spans="1:6" x14ac:dyDescent="0.3">
      <c r="A51" s="1">
        <v>50</v>
      </c>
      <c r="B51" t="s">
        <v>298</v>
      </c>
      <c r="C51" s="1" t="str" cm="1">
        <f t="array" ref="C51">_xlfn.IFS(LEN(B51) &lt;= 25, "Short", AND(LEN(B51) &gt; 25, LEN(B51) &lt;= 50), "Medium", LEN(B51) &gt; 50, "Long")</f>
        <v>Medium</v>
      </c>
      <c r="D51" t="s">
        <v>81</v>
      </c>
      <c r="E51" t="s">
        <v>242</v>
      </c>
      <c r="F51" s="1" t="b">
        <f t="shared" si="0"/>
        <v>0</v>
      </c>
    </row>
    <row r="52" spans="1:6" x14ac:dyDescent="0.3">
      <c r="A52" s="1">
        <v>51</v>
      </c>
      <c r="B52" t="s">
        <v>299</v>
      </c>
      <c r="C52" s="1" t="str" cm="1">
        <f t="array" ref="C52">_xlfn.IFS(LEN(B52) &lt;= 25, "Short", AND(LEN(B52) &gt; 25, LEN(B52) &lt;= 50), "Medium", LEN(B52) &gt; 50, "Long")</f>
        <v>Short</v>
      </c>
      <c r="D52" t="s">
        <v>81</v>
      </c>
      <c r="E52" t="s">
        <v>242</v>
      </c>
      <c r="F52" s="1" t="b">
        <f t="shared" si="0"/>
        <v>0</v>
      </c>
    </row>
    <row r="53" spans="1:6" x14ac:dyDescent="0.3">
      <c r="A53" s="1">
        <v>52</v>
      </c>
      <c r="B53" t="s">
        <v>300</v>
      </c>
      <c r="C53" s="1" t="str" cm="1">
        <f t="array" ref="C53">_xlfn.IFS(LEN(B53) &lt;= 25, "Short", AND(LEN(B53) &gt; 25, LEN(B53) &lt;= 50), "Medium", LEN(B53) &gt; 50, "Long")</f>
        <v>Long</v>
      </c>
      <c r="D53" t="s">
        <v>76</v>
      </c>
      <c r="E53" t="s">
        <v>76</v>
      </c>
      <c r="F53" s="1" t="b">
        <f t="shared" si="0"/>
        <v>1</v>
      </c>
    </row>
    <row r="54" spans="1:6" x14ac:dyDescent="0.3">
      <c r="A54" s="1">
        <v>53</v>
      </c>
      <c r="B54" t="s">
        <v>301</v>
      </c>
      <c r="C54" s="1" t="str" cm="1">
        <f t="array" ref="C54">_xlfn.IFS(LEN(B54) &lt;= 25, "Short", AND(LEN(B54) &gt; 25, LEN(B54) &lt;= 50), "Medium", LEN(B54) &gt; 50, "Long")</f>
        <v>Long</v>
      </c>
      <c r="D54" t="s">
        <v>79</v>
      </c>
      <c r="E54" t="s">
        <v>79</v>
      </c>
      <c r="F54" s="1" t="b">
        <f t="shared" si="0"/>
        <v>1</v>
      </c>
    </row>
    <row r="55" spans="1:6" x14ac:dyDescent="0.3">
      <c r="A55" s="1">
        <v>54</v>
      </c>
      <c r="B55" t="s">
        <v>302</v>
      </c>
      <c r="C55" s="1" t="str" cm="1">
        <f t="array" ref="C55">_xlfn.IFS(LEN(B55) &lt;= 25, "Short", AND(LEN(B55) &gt; 25, LEN(B55) &lt;= 50), "Medium", LEN(B55) &gt; 50, "Long")</f>
        <v>Long</v>
      </c>
      <c r="D55" t="s">
        <v>79</v>
      </c>
      <c r="E55" t="s">
        <v>79</v>
      </c>
      <c r="F55" s="1" t="b">
        <f t="shared" si="0"/>
        <v>1</v>
      </c>
    </row>
    <row r="56" spans="1:6" x14ac:dyDescent="0.3">
      <c r="A56" s="1">
        <v>55</v>
      </c>
      <c r="B56" t="s">
        <v>303</v>
      </c>
      <c r="C56" s="1" t="str" cm="1">
        <f t="array" ref="C56">_xlfn.IFS(LEN(B56) &lt;= 25, "Short", AND(LEN(B56) &gt; 25, LEN(B56) &lt;= 50), "Medium", LEN(B56) &gt; 50, "Long")</f>
        <v>Long</v>
      </c>
      <c r="D56" t="s">
        <v>81</v>
      </c>
      <c r="E56" t="s">
        <v>82</v>
      </c>
      <c r="F56" s="1" t="b">
        <f t="shared" si="0"/>
        <v>0</v>
      </c>
    </row>
    <row r="57" spans="1:6" x14ac:dyDescent="0.3">
      <c r="A57" s="1">
        <v>56</v>
      </c>
      <c r="B57" t="s">
        <v>304</v>
      </c>
      <c r="C57" s="1" t="str" cm="1">
        <f t="array" ref="C57">_xlfn.IFS(LEN(B57) &lt;= 25, "Short", AND(LEN(B57) &gt; 25, LEN(B57) &lt;= 50), "Medium", LEN(B57) &gt; 50, "Long")</f>
        <v>Long</v>
      </c>
      <c r="D57" t="s">
        <v>81</v>
      </c>
      <c r="E57" t="s">
        <v>81</v>
      </c>
      <c r="F57" s="1" t="b">
        <f t="shared" si="0"/>
        <v>1</v>
      </c>
    </row>
    <row r="58" spans="1:6" x14ac:dyDescent="0.3">
      <c r="A58" s="1">
        <v>57</v>
      </c>
      <c r="B58" t="s">
        <v>305</v>
      </c>
      <c r="C58" s="1" t="str" cm="1">
        <f t="array" ref="C58">_xlfn.IFS(LEN(B58) &lt;= 25, "Short", AND(LEN(B58) &gt; 25, LEN(B58) &lt;= 50), "Medium", LEN(B58) &gt; 50, "Long")</f>
        <v>Short</v>
      </c>
      <c r="D58" t="s">
        <v>242</v>
      </c>
      <c r="E58" t="s">
        <v>242</v>
      </c>
      <c r="F58" s="1" t="b">
        <f t="shared" si="0"/>
        <v>1</v>
      </c>
    </row>
    <row r="59" spans="1:6" x14ac:dyDescent="0.3">
      <c r="A59" s="1">
        <v>58</v>
      </c>
      <c r="B59" t="s">
        <v>306</v>
      </c>
      <c r="C59" s="1" t="str" cm="1">
        <f t="array" ref="C59">_xlfn.IFS(LEN(B59) &lt;= 25, "Short", AND(LEN(B59) &gt; 25, LEN(B59) &lt;= 50), "Medium", LEN(B59) &gt; 50, "Long")</f>
        <v>Long</v>
      </c>
      <c r="D59" t="s">
        <v>79</v>
      </c>
      <c r="E59" t="s">
        <v>79</v>
      </c>
      <c r="F59" s="1" t="b">
        <f t="shared" si="0"/>
        <v>1</v>
      </c>
    </row>
    <row r="60" spans="1:6" x14ac:dyDescent="0.3">
      <c r="A60" s="1">
        <v>59</v>
      </c>
      <c r="B60" t="s">
        <v>307</v>
      </c>
      <c r="C60" s="1" t="str" cm="1">
        <f t="array" ref="C60">_xlfn.IFS(LEN(B60) &lt;= 25, "Short", AND(LEN(B60) &gt; 25, LEN(B60) &lt;= 50), "Medium", LEN(B60) &gt; 50, "Long")</f>
        <v>Medium</v>
      </c>
      <c r="D60" t="s">
        <v>81</v>
      </c>
      <c r="E60" t="s">
        <v>79</v>
      </c>
      <c r="F60" s="1" t="b">
        <f t="shared" si="0"/>
        <v>0</v>
      </c>
    </row>
    <row r="61" spans="1:6" x14ac:dyDescent="0.3">
      <c r="A61" s="1">
        <v>60</v>
      </c>
      <c r="B61" t="s">
        <v>308</v>
      </c>
      <c r="C61" s="1" t="str" cm="1">
        <f t="array" ref="C61">_xlfn.IFS(LEN(B61) &lt;= 25, "Short", AND(LEN(B61) &gt; 25, LEN(B61) &lt;= 50), "Medium", LEN(B61) &gt; 50, "Long")</f>
        <v>Short</v>
      </c>
      <c r="D61" t="s">
        <v>76</v>
      </c>
      <c r="E61" t="s">
        <v>80</v>
      </c>
      <c r="F61" s="1" t="b">
        <f t="shared" si="0"/>
        <v>0</v>
      </c>
    </row>
    <row r="62" spans="1:6" x14ac:dyDescent="0.3">
      <c r="A62" s="1">
        <v>61</v>
      </c>
      <c r="B62" t="s">
        <v>309</v>
      </c>
      <c r="C62" s="1" t="str" cm="1">
        <f t="array" ref="C62">_xlfn.IFS(LEN(B62) &lt;= 25, "Short", AND(LEN(B62) &gt; 25, LEN(B62) &lt;= 50), "Medium", LEN(B62) &gt; 50, "Long")</f>
        <v>Medium</v>
      </c>
      <c r="D62" t="s">
        <v>77</v>
      </c>
      <c r="E62" t="s">
        <v>242</v>
      </c>
      <c r="F62" s="1" t="b">
        <f t="shared" si="0"/>
        <v>0</v>
      </c>
    </row>
    <row r="63" spans="1:6" x14ac:dyDescent="0.3">
      <c r="A63" s="1">
        <v>62</v>
      </c>
      <c r="B63" t="s">
        <v>310</v>
      </c>
      <c r="C63" s="1" t="str" cm="1">
        <f t="array" ref="C63">_xlfn.IFS(LEN(B63) &lt;= 25, "Short", AND(LEN(B63) &gt; 25, LEN(B63) &lt;= 50), "Medium", LEN(B63) &gt; 50, "Long")</f>
        <v>Medium</v>
      </c>
      <c r="D63" t="s">
        <v>242</v>
      </c>
      <c r="E63" t="s">
        <v>242</v>
      </c>
      <c r="F63" s="1" t="b">
        <f t="shared" si="0"/>
        <v>1</v>
      </c>
    </row>
    <row r="64" spans="1:6" x14ac:dyDescent="0.3">
      <c r="A64" s="1">
        <v>63</v>
      </c>
      <c r="B64" t="s">
        <v>311</v>
      </c>
      <c r="C64" s="1" t="str" cm="1">
        <f t="array" ref="C64">_xlfn.IFS(LEN(B64) &lt;= 25, "Short", AND(LEN(B64) &gt; 25, LEN(B64) &lt;= 50), "Medium", LEN(B64) &gt; 50, "Long")</f>
        <v>Short</v>
      </c>
      <c r="D64" t="s">
        <v>77</v>
      </c>
      <c r="E64" t="s">
        <v>82</v>
      </c>
      <c r="F64" s="1" t="b">
        <f t="shared" si="0"/>
        <v>0</v>
      </c>
    </row>
    <row r="65" spans="1:6" x14ac:dyDescent="0.3">
      <c r="A65" s="1">
        <v>64</v>
      </c>
      <c r="B65" t="s">
        <v>312</v>
      </c>
      <c r="C65" s="1" t="str" cm="1">
        <f t="array" ref="C65">_xlfn.IFS(LEN(B65) &lt;= 25, "Short", AND(LEN(B65) &gt; 25, LEN(B65) &lt;= 50), "Medium", LEN(B65) &gt; 50, "Long")</f>
        <v>Long</v>
      </c>
      <c r="D65" t="s">
        <v>76</v>
      </c>
      <c r="E65" t="s">
        <v>76</v>
      </c>
      <c r="F65" s="1" t="b">
        <f t="shared" si="0"/>
        <v>1</v>
      </c>
    </row>
    <row r="66" spans="1:6" x14ac:dyDescent="0.3">
      <c r="A66" s="1">
        <v>65</v>
      </c>
      <c r="B66" t="s">
        <v>313</v>
      </c>
      <c r="C66" s="1" t="str" cm="1">
        <f t="array" ref="C66">_xlfn.IFS(LEN(B66) &lt;= 25, "Short", AND(LEN(B66) &gt; 25, LEN(B66) &lt;= 50), "Medium", LEN(B66) &gt; 50, "Long")</f>
        <v>Long</v>
      </c>
      <c r="D66" t="s">
        <v>76</v>
      </c>
      <c r="E66" t="s">
        <v>76</v>
      </c>
      <c r="F66" s="1" t="b">
        <f t="shared" si="0"/>
        <v>1</v>
      </c>
    </row>
    <row r="67" spans="1:6" x14ac:dyDescent="0.3">
      <c r="A67" s="1">
        <v>66</v>
      </c>
      <c r="B67" t="s">
        <v>314</v>
      </c>
      <c r="C67" s="1" t="str" cm="1">
        <f t="array" ref="C67">_xlfn.IFS(LEN(B67) &lt;= 25, "Short", AND(LEN(B67) &gt; 25, LEN(B67) &lt;= 50), "Medium", LEN(B67) &gt; 50, "Long")</f>
        <v>Short</v>
      </c>
      <c r="D67" t="s">
        <v>80</v>
      </c>
      <c r="E67" t="s">
        <v>77</v>
      </c>
      <c r="F67" s="1" t="b">
        <f t="shared" ref="F67:F130" si="6">IF(D67=E67, TRUE, FALSE)</f>
        <v>0</v>
      </c>
    </row>
    <row r="68" spans="1:6" x14ac:dyDescent="0.3">
      <c r="A68" s="1">
        <v>67</v>
      </c>
      <c r="B68" t="s">
        <v>315</v>
      </c>
      <c r="C68" s="1" t="str" cm="1">
        <f t="array" ref="C68">_xlfn.IFS(LEN(B68) &lt;= 25, "Short", AND(LEN(B68) &gt; 25, LEN(B68) &lt;= 50), "Medium", LEN(B68) &gt; 50, "Long")</f>
        <v>Long</v>
      </c>
      <c r="D68" t="s">
        <v>81</v>
      </c>
      <c r="E68" t="s">
        <v>81</v>
      </c>
      <c r="F68" s="1" t="b">
        <f t="shared" si="6"/>
        <v>1</v>
      </c>
    </row>
    <row r="69" spans="1:6" x14ac:dyDescent="0.3">
      <c r="A69" s="1">
        <v>68</v>
      </c>
      <c r="B69" t="s">
        <v>316</v>
      </c>
      <c r="C69" s="1" t="str" cm="1">
        <f t="array" ref="C69">_xlfn.IFS(LEN(B69) &lt;= 25, "Short", AND(LEN(B69) &gt; 25, LEN(B69) &lt;= 50), "Medium", LEN(B69) &gt; 50, "Long")</f>
        <v>Short</v>
      </c>
      <c r="D69" t="s">
        <v>81</v>
      </c>
      <c r="E69" t="s">
        <v>81</v>
      </c>
      <c r="F69" s="1" t="b">
        <f t="shared" si="6"/>
        <v>1</v>
      </c>
    </row>
    <row r="70" spans="1:6" x14ac:dyDescent="0.3">
      <c r="A70" s="1">
        <v>69</v>
      </c>
      <c r="B70" t="s">
        <v>317</v>
      </c>
      <c r="C70" s="1" t="str" cm="1">
        <f t="array" ref="C70">_xlfn.IFS(LEN(B70) &lt;= 25, "Short", AND(LEN(B70) &gt; 25, LEN(B70) &lt;= 50), "Medium", LEN(B70) &gt; 50, "Long")</f>
        <v>Medium</v>
      </c>
      <c r="D70" t="s">
        <v>76</v>
      </c>
      <c r="E70" t="s">
        <v>82</v>
      </c>
      <c r="F70" s="1" t="b">
        <f t="shared" si="6"/>
        <v>0</v>
      </c>
    </row>
    <row r="71" spans="1:6" x14ac:dyDescent="0.3">
      <c r="A71" s="1">
        <v>70</v>
      </c>
      <c r="B71" t="s">
        <v>318</v>
      </c>
      <c r="C71" s="1" t="str" cm="1">
        <f t="array" ref="C71">_xlfn.IFS(LEN(B71) &lt;= 25, "Short", AND(LEN(B71) &gt; 25, LEN(B71) &lt;= 50), "Medium", LEN(B71) &gt; 50, "Long")</f>
        <v>Medium</v>
      </c>
      <c r="D71" t="s">
        <v>79</v>
      </c>
      <c r="E71" t="s">
        <v>242</v>
      </c>
      <c r="F71" s="1" t="b">
        <f t="shared" si="6"/>
        <v>0</v>
      </c>
    </row>
    <row r="72" spans="1:6" x14ac:dyDescent="0.3">
      <c r="A72" s="1">
        <v>71</v>
      </c>
      <c r="B72" t="s">
        <v>319</v>
      </c>
      <c r="C72" s="1" t="str" cm="1">
        <f t="array" ref="C72">_xlfn.IFS(LEN(B72) &lt;= 25, "Short", AND(LEN(B72) &gt; 25, LEN(B72) &lt;= 50), "Medium", LEN(B72) &gt; 50, "Long")</f>
        <v>Medium</v>
      </c>
      <c r="D72" t="s">
        <v>77</v>
      </c>
      <c r="E72" t="s">
        <v>242</v>
      </c>
      <c r="F72" s="1" t="b">
        <f t="shared" si="6"/>
        <v>0</v>
      </c>
    </row>
    <row r="73" spans="1:6" x14ac:dyDescent="0.3">
      <c r="A73" s="1">
        <v>72</v>
      </c>
      <c r="B73" t="s">
        <v>320</v>
      </c>
      <c r="C73" s="1" t="str" cm="1">
        <f t="array" ref="C73">_xlfn.IFS(LEN(B73) &lt;= 25, "Short", AND(LEN(B73) &gt; 25, LEN(B73) &lt;= 50), "Medium", LEN(B73) &gt; 50, "Long")</f>
        <v>Long</v>
      </c>
      <c r="D73" t="s">
        <v>81</v>
      </c>
      <c r="E73" t="s">
        <v>81</v>
      </c>
      <c r="F73" s="1" t="b">
        <f t="shared" si="6"/>
        <v>1</v>
      </c>
    </row>
    <row r="74" spans="1:6" x14ac:dyDescent="0.3">
      <c r="A74" s="1">
        <v>73</v>
      </c>
      <c r="B74" t="s">
        <v>321</v>
      </c>
      <c r="C74" s="1" t="str" cm="1">
        <f t="array" ref="C74">_xlfn.IFS(LEN(B74) &lt;= 25, "Short", AND(LEN(B74) &gt; 25, LEN(B74) &lt;= 50), "Medium", LEN(B74) &gt; 50, "Long")</f>
        <v>Medium</v>
      </c>
      <c r="D74" t="s">
        <v>76</v>
      </c>
      <c r="E74" t="s">
        <v>82</v>
      </c>
      <c r="F74" s="1" t="b">
        <f t="shared" si="6"/>
        <v>0</v>
      </c>
    </row>
    <row r="75" spans="1:6" x14ac:dyDescent="0.3">
      <c r="A75" s="1">
        <v>74</v>
      </c>
      <c r="B75" t="s">
        <v>322</v>
      </c>
      <c r="C75" s="1" t="str" cm="1">
        <f t="array" ref="C75">_xlfn.IFS(LEN(B75) &lt;= 25, "Short", AND(LEN(B75) &gt; 25, LEN(B75) &lt;= 50), "Medium", LEN(B75) &gt; 50, "Long")</f>
        <v>Short</v>
      </c>
      <c r="D75" t="s">
        <v>77</v>
      </c>
      <c r="E75" t="s">
        <v>242</v>
      </c>
      <c r="F75" s="1" t="b">
        <f t="shared" si="6"/>
        <v>0</v>
      </c>
    </row>
    <row r="76" spans="1:6" x14ac:dyDescent="0.3">
      <c r="A76" s="1">
        <v>75</v>
      </c>
      <c r="B76" t="s">
        <v>323</v>
      </c>
      <c r="C76" s="1" t="str" cm="1">
        <f t="array" ref="C76">_xlfn.IFS(LEN(B76) &lt;= 25, "Short", AND(LEN(B76) &gt; 25, LEN(B76) &lt;= 50), "Medium", LEN(B76) &gt; 50, "Long")</f>
        <v>Short</v>
      </c>
      <c r="D76" t="s">
        <v>79</v>
      </c>
      <c r="E76" t="s">
        <v>242</v>
      </c>
      <c r="F76" s="1" t="b">
        <f t="shared" si="6"/>
        <v>0</v>
      </c>
    </row>
    <row r="77" spans="1:6" x14ac:dyDescent="0.3">
      <c r="A77" s="1">
        <v>76</v>
      </c>
      <c r="B77" t="s">
        <v>324</v>
      </c>
      <c r="C77" s="1" t="str" cm="1">
        <f t="array" ref="C77">_xlfn.IFS(LEN(B77) &lt;= 25, "Short", AND(LEN(B77) &gt; 25, LEN(B77) &lt;= 50), "Medium", LEN(B77) &gt; 50, "Long")</f>
        <v>Long</v>
      </c>
      <c r="D77" t="s">
        <v>82</v>
      </c>
      <c r="E77" t="s">
        <v>82</v>
      </c>
      <c r="F77" s="1" t="b">
        <f t="shared" si="6"/>
        <v>1</v>
      </c>
    </row>
    <row r="78" spans="1:6" x14ac:dyDescent="0.3">
      <c r="A78" s="1">
        <v>77</v>
      </c>
      <c r="B78" t="s">
        <v>325</v>
      </c>
      <c r="C78" s="1" t="str" cm="1">
        <f t="array" ref="C78">_xlfn.IFS(LEN(B78) &lt;= 25, "Short", AND(LEN(B78) &gt; 25, LEN(B78) &lt;= 50), "Medium", LEN(B78) &gt; 50, "Long")</f>
        <v>Long</v>
      </c>
      <c r="D78" t="s">
        <v>76</v>
      </c>
      <c r="E78" t="s">
        <v>76</v>
      </c>
      <c r="F78" s="1" t="b">
        <f t="shared" si="6"/>
        <v>1</v>
      </c>
    </row>
    <row r="79" spans="1:6" x14ac:dyDescent="0.3">
      <c r="A79" s="1">
        <v>78</v>
      </c>
      <c r="B79" t="s">
        <v>326</v>
      </c>
      <c r="C79" s="1" t="str" cm="1">
        <f t="array" ref="C79">_xlfn.IFS(LEN(B79) &lt;= 25, "Short", AND(LEN(B79) &gt; 25, LEN(B79) &lt;= 50), "Medium", LEN(B79) &gt; 50, "Long")</f>
        <v>Long</v>
      </c>
      <c r="D79" t="s">
        <v>76</v>
      </c>
      <c r="E79" t="s">
        <v>76</v>
      </c>
      <c r="F79" s="1" t="b">
        <f t="shared" si="6"/>
        <v>1</v>
      </c>
    </row>
    <row r="80" spans="1:6" x14ac:dyDescent="0.3">
      <c r="A80" s="1">
        <v>79</v>
      </c>
      <c r="B80" t="s">
        <v>327</v>
      </c>
      <c r="C80" s="1" t="str" cm="1">
        <f t="array" ref="C80">_xlfn.IFS(LEN(B80) &lt;= 25, "Short", AND(LEN(B80) &gt; 25, LEN(B80) &lt;= 50), "Medium", LEN(B80) &gt; 50, "Long")</f>
        <v>Long</v>
      </c>
      <c r="D80" t="s">
        <v>77</v>
      </c>
      <c r="E80" t="s">
        <v>77</v>
      </c>
      <c r="F80" s="1" t="b">
        <f t="shared" si="6"/>
        <v>1</v>
      </c>
    </row>
    <row r="81" spans="1:6" x14ac:dyDescent="0.3">
      <c r="A81" s="1">
        <v>80</v>
      </c>
      <c r="B81" t="s">
        <v>328</v>
      </c>
      <c r="C81" s="1" t="str" cm="1">
        <f t="array" ref="C81">_xlfn.IFS(LEN(B81) &lt;= 25, "Short", AND(LEN(B81) &gt; 25, LEN(B81) &lt;= 50), "Medium", LEN(B81) &gt; 50, "Long")</f>
        <v>Long</v>
      </c>
      <c r="D81" t="s">
        <v>81</v>
      </c>
      <c r="E81" t="s">
        <v>81</v>
      </c>
      <c r="F81" s="1" t="b">
        <f t="shared" si="6"/>
        <v>1</v>
      </c>
    </row>
    <row r="82" spans="1:6" x14ac:dyDescent="0.3">
      <c r="A82" s="1">
        <v>81</v>
      </c>
      <c r="B82" t="s">
        <v>329</v>
      </c>
      <c r="C82" s="1" t="str" cm="1">
        <f t="array" ref="C82">_xlfn.IFS(LEN(B82) &lt;= 25, "Short", AND(LEN(B82) &gt; 25, LEN(B82) &lt;= 50), "Medium", LEN(B82) &gt; 50, "Long")</f>
        <v>Long</v>
      </c>
      <c r="D82" t="s">
        <v>77</v>
      </c>
      <c r="E82" t="s">
        <v>77</v>
      </c>
      <c r="F82" s="1" t="b">
        <f t="shared" si="6"/>
        <v>1</v>
      </c>
    </row>
    <row r="83" spans="1:6" x14ac:dyDescent="0.3">
      <c r="A83" s="1">
        <v>82</v>
      </c>
      <c r="B83" t="s">
        <v>330</v>
      </c>
      <c r="C83" s="1" t="str" cm="1">
        <f t="array" ref="C83">_xlfn.IFS(LEN(B83) &lt;= 25, "Short", AND(LEN(B83) &gt; 25, LEN(B83) &lt;= 50), "Medium", LEN(B83) &gt; 50, "Long")</f>
        <v>Long</v>
      </c>
      <c r="D83" t="s">
        <v>77</v>
      </c>
      <c r="E83" t="s">
        <v>79</v>
      </c>
      <c r="F83" s="1" t="b">
        <f t="shared" si="6"/>
        <v>0</v>
      </c>
    </row>
    <row r="84" spans="1:6" x14ac:dyDescent="0.3">
      <c r="A84" s="1">
        <v>83</v>
      </c>
      <c r="B84" t="s">
        <v>331</v>
      </c>
      <c r="C84" s="1" t="str" cm="1">
        <f t="array" ref="C84">_xlfn.IFS(LEN(B84) &lt;= 25, "Short", AND(LEN(B84) &gt; 25, LEN(B84) &lt;= 50), "Medium", LEN(B84) &gt; 50, "Long")</f>
        <v>Short</v>
      </c>
      <c r="D84" t="s">
        <v>76</v>
      </c>
      <c r="E84" t="s">
        <v>76</v>
      </c>
      <c r="F84" s="1" t="b">
        <f t="shared" si="6"/>
        <v>1</v>
      </c>
    </row>
    <row r="85" spans="1:6" x14ac:dyDescent="0.3">
      <c r="A85" s="1">
        <v>84</v>
      </c>
      <c r="B85" t="s">
        <v>332</v>
      </c>
      <c r="C85" s="1" t="str" cm="1">
        <f t="array" ref="C85">_xlfn.IFS(LEN(B85) &lt;= 25, "Short", AND(LEN(B85) &gt; 25, LEN(B85) &lt;= 50), "Medium", LEN(B85) &gt; 50, "Long")</f>
        <v>Medium</v>
      </c>
      <c r="D85" t="s">
        <v>242</v>
      </c>
      <c r="E85" t="s">
        <v>242</v>
      </c>
      <c r="F85" s="1" t="b">
        <f t="shared" si="6"/>
        <v>1</v>
      </c>
    </row>
    <row r="86" spans="1:6" x14ac:dyDescent="0.3">
      <c r="A86" s="1">
        <v>85</v>
      </c>
      <c r="B86" t="s">
        <v>333</v>
      </c>
      <c r="C86" s="1" t="str" cm="1">
        <f t="array" ref="C86">_xlfn.IFS(LEN(B86) &lt;= 25, "Short", AND(LEN(B86) &gt; 25, LEN(B86) &lt;= 50), "Medium", LEN(B86) &gt; 50, "Long")</f>
        <v>Long</v>
      </c>
      <c r="D86" t="s">
        <v>81</v>
      </c>
      <c r="E86" t="s">
        <v>81</v>
      </c>
      <c r="F86" s="1" t="b">
        <f t="shared" si="6"/>
        <v>1</v>
      </c>
    </row>
    <row r="87" spans="1:6" x14ac:dyDescent="0.3">
      <c r="A87" s="1">
        <v>86</v>
      </c>
      <c r="B87" t="s">
        <v>334</v>
      </c>
      <c r="C87" s="1" t="str" cm="1">
        <f t="array" ref="C87">_xlfn.IFS(LEN(B87) &lt;= 25, "Short", AND(LEN(B87) &gt; 25, LEN(B87) &lt;= 50), "Medium", LEN(B87) &gt; 50, "Long")</f>
        <v>Long</v>
      </c>
      <c r="D87" t="s">
        <v>81</v>
      </c>
      <c r="E87" t="s">
        <v>82</v>
      </c>
      <c r="F87" s="1" t="b">
        <f t="shared" si="6"/>
        <v>0</v>
      </c>
    </row>
    <row r="88" spans="1:6" x14ac:dyDescent="0.3">
      <c r="A88" s="1">
        <v>87</v>
      </c>
      <c r="B88" t="s">
        <v>335</v>
      </c>
      <c r="C88" s="1" t="str" cm="1">
        <f t="array" ref="C88">_xlfn.IFS(LEN(B88) &lt;= 25, "Short", AND(LEN(B88) &gt; 25, LEN(B88) &lt;= 50), "Medium", LEN(B88) &gt; 50, "Long")</f>
        <v>Long</v>
      </c>
      <c r="D88" t="s">
        <v>76</v>
      </c>
      <c r="E88" t="s">
        <v>77</v>
      </c>
      <c r="F88" s="1" t="b">
        <f t="shared" si="6"/>
        <v>0</v>
      </c>
    </row>
    <row r="89" spans="1:6" x14ac:dyDescent="0.3">
      <c r="A89" s="1">
        <v>88</v>
      </c>
      <c r="B89" t="s">
        <v>336</v>
      </c>
      <c r="C89" s="1" t="str" cm="1">
        <f t="array" ref="C89">_xlfn.IFS(LEN(B89) &lt;= 25, "Short", AND(LEN(B89) &gt; 25, LEN(B89) &lt;= 50), "Medium", LEN(B89) &gt; 50, "Long")</f>
        <v>Short</v>
      </c>
      <c r="D89" t="s">
        <v>79</v>
      </c>
      <c r="E89" t="s">
        <v>77</v>
      </c>
      <c r="F89" s="1" t="b">
        <f t="shared" si="6"/>
        <v>0</v>
      </c>
    </row>
    <row r="90" spans="1:6" x14ac:dyDescent="0.3">
      <c r="A90" s="1">
        <v>89</v>
      </c>
      <c r="B90" t="s">
        <v>337</v>
      </c>
      <c r="C90" s="1" t="str" cm="1">
        <f t="array" ref="C90">_xlfn.IFS(LEN(B90) &lt;= 25, "Short", AND(LEN(B90) &gt; 25, LEN(B90) &lt;= 50), "Medium", LEN(B90) &gt; 50, "Long")</f>
        <v>Medium</v>
      </c>
      <c r="D90" t="s">
        <v>79</v>
      </c>
      <c r="E90" t="s">
        <v>242</v>
      </c>
      <c r="F90" s="1" t="b">
        <f t="shared" si="6"/>
        <v>0</v>
      </c>
    </row>
    <row r="91" spans="1:6" x14ac:dyDescent="0.3">
      <c r="A91" s="1">
        <v>90</v>
      </c>
      <c r="B91" t="s">
        <v>338</v>
      </c>
      <c r="C91" s="1" t="str" cm="1">
        <f t="array" ref="C91">_xlfn.IFS(LEN(B91) &lt;= 25, "Short", AND(LEN(B91) &gt; 25, LEN(B91) &lt;= 50), "Medium", LEN(B91) &gt; 50, "Long")</f>
        <v>Medium</v>
      </c>
      <c r="D91" t="s">
        <v>76</v>
      </c>
      <c r="E91" t="s">
        <v>82</v>
      </c>
      <c r="F91" s="1" t="b">
        <f t="shared" si="6"/>
        <v>0</v>
      </c>
    </row>
    <row r="92" spans="1:6" x14ac:dyDescent="0.3">
      <c r="A92" s="1">
        <v>91</v>
      </c>
      <c r="B92" t="s">
        <v>339</v>
      </c>
      <c r="C92" s="1" t="str" cm="1">
        <f t="array" ref="C92">_xlfn.IFS(LEN(B92) &lt;= 25, "Short", AND(LEN(B92) &gt; 25, LEN(B92) &lt;= 50), "Medium", LEN(B92) &gt; 50, "Long")</f>
        <v>Long</v>
      </c>
      <c r="D92" t="s">
        <v>79</v>
      </c>
      <c r="E92" t="s">
        <v>79</v>
      </c>
      <c r="F92" s="1" t="b">
        <f t="shared" si="6"/>
        <v>1</v>
      </c>
    </row>
    <row r="93" spans="1:6" x14ac:dyDescent="0.3">
      <c r="A93" s="1">
        <v>92</v>
      </c>
      <c r="B93" t="s">
        <v>340</v>
      </c>
      <c r="C93" s="1" t="str" cm="1">
        <f t="array" ref="C93">_xlfn.IFS(LEN(B93) &lt;= 25, "Short", AND(LEN(B93) &gt; 25, LEN(B93) &lt;= 50), "Medium", LEN(B93) &gt; 50, "Long")</f>
        <v>Long</v>
      </c>
      <c r="D93" t="s">
        <v>76</v>
      </c>
      <c r="E93" t="s">
        <v>76</v>
      </c>
      <c r="F93" s="1" t="b">
        <f t="shared" si="6"/>
        <v>1</v>
      </c>
    </row>
    <row r="94" spans="1:6" x14ac:dyDescent="0.3">
      <c r="A94" s="1">
        <v>93</v>
      </c>
      <c r="B94" t="s">
        <v>341</v>
      </c>
      <c r="C94" s="1" t="str" cm="1">
        <f t="array" ref="C94">_xlfn.IFS(LEN(B94) &lt;= 25, "Short", AND(LEN(B94) &gt; 25, LEN(B94) &lt;= 50), "Medium", LEN(B94) &gt; 50, "Long")</f>
        <v>Long</v>
      </c>
      <c r="D94" t="s">
        <v>76</v>
      </c>
      <c r="E94" t="s">
        <v>76</v>
      </c>
      <c r="F94" s="1" t="b">
        <f t="shared" si="6"/>
        <v>1</v>
      </c>
    </row>
    <row r="95" spans="1:6" x14ac:dyDescent="0.3">
      <c r="A95" s="1">
        <v>94</v>
      </c>
      <c r="B95" t="s">
        <v>342</v>
      </c>
      <c r="C95" s="1" t="str" cm="1">
        <f t="array" ref="C95">_xlfn.IFS(LEN(B95) &lt;= 25, "Short", AND(LEN(B95) &gt; 25, LEN(B95) &lt;= 50), "Medium", LEN(B95) &gt; 50, "Long")</f>
        <v>Long</v>
      </c>
      <c r="D95" t="s">
        <v>76</v>
      </c>
      <c r="E95" t="s">
        <v>76</v>
      </c>
      <c r="F95" s="1" t="b">
        <f t="shared" si="6"/>
        <v>1</v>
      </c>
    </row>
    <row r="96" spans="1:6" x14ac:dyDescent="0.3">
      <c r="A96" s="1">
        <v>95</v>
      </c>
      <c r="B96" t="s">
        <v>343</v>
      </c>
      <c r="C96" s="1" t="str" cm="1">
        <f t="array" ref="C96">_xlfn.IFS(LEN(B96) &lt;= 25, "Short", AND(LEN(B96) &gt; 25, LEN(B96) &lt;= 50), "Medium", LEN(B96) &gt; 50, "Long")</f>
        <v>Short</v>
      </c>
      <c r="D96" t="s">
        <v>76</v>
      </c>
      <c r="E96" t="s">
        <v>82</v>
      </c>
      <c r="F96" s="1" t="b">
        <f t="shared" si="6"/>
        <v>0</v>
      </c>
    </row>
    <row r="97" spans="1:6" x14ac:dyDescent="0.3">
      <c r="A97" s="1">
        <v>96</v>
      </c>
      <c r="B97" t="s">
        <v>344</v>
      </c>
      <c r="C97" s="1" t="str" cm="1">
        <f t="array" ref="C97">_xlfn.IFS(LEN(B97) &lt;= 25, "Short", AND(LEN(B97) &gt; 25, LEN(B97) &lt;= 50), "Medium", LEN(B97) &gt; 50, "Long")</f>
        <v>Long</v>
      </c>
      <c r="D97" t="s">
        <v>79</v>
      </c>
      <c r="E97" t="s">
        <v>81</v>
      </c>
      <c r="F97" s="1" t="b">
        <f t="shared" si="6"/>
        <v>0</v>
      </c>
    </row>
    <row r="98" spans="1:6" x14ac:dyDescent="0.3">
      <c r="A98" s="1">
        <v>97</v>
      </c>
      <c r="B98" t="s">
        <v>345</v>
      </c>
      <c r="C98" s="1" t="str" cm="1">
        <f t="array" ref="C98">_xlfn.IFS(LEN(B98) &lt;= 25, "Short", AND(LEN(B98) &gt; 25, LEN(B98) &lt;= 50), "Medium", LEN(B98) &gt; 50, "Long")</f>
        <v>Long</v>
      </c>
      <c r="D98" t="s">
        <v>79</v>
      </c>
      <c r="E98" t="s">
        <v>79</v>
      </c>
      <c r="F98" s="1" t="b">
        <f t="shared" si="6"/>
        <v>1</v>
      </c>
    </row>
    <row r="99" spans="1:6" x14ac:dyDescent="0.3">
      <c r="A99" s="1">
        <v>98</v>
      </c>
      <c r="B99" t="s">
        <v>346</v>
      </c>
      <c r="C99" s="1" t="str" cm="1">
        <f t="array" ref="C99">_xlfn.IFS(LEN(B99) &lt;= 25, "Short", AND(LEN(B99) &gt; 25, LEN(B99) &lt;= 50), "Medium", LEN(B99) &gt; 50, "Long")</f>
        <v>Long</v>
      </c>
      <c r="D99" t="s">
        <v>81</v>
      </c>
      <c r="E99" t="s">
        <v>81</v>
      </c>
      <c r="F99" s="1" t="b">
        <f t="shared" si="6"/>
        <v>1</v>
      </c>
    </row>
    <row r="100" spans="1:6" x14ac:dyDescent="0.3">
      <c r="A100" s="1">
        <v>99</v>
      </c>
      <c r="B100" t="s">
        <v>347</v>
      </c>
      <c r="C100" s="1" t="str" cm="1">
        <f t="array" ref="C100">_xlfn.IFS(LEN(B100) &lt;= 25, "Short", AND(LEN(B100) &gt; 25, LEN(B100) &lt;= 50), "Medium", LEN(B100) &gt; 50, "Long")</f>
        <v>Long</v>
      </c>
      <c r="D100" t="s">
        <v>77</v>
      </c>
      <c r="E100" t="s">
        <v>77</v>
      </c>
      <c r="F100" s="1" t="b">
        <f t="shared" si="6"/>
        <v>1</v>
      </c>
    </row>
    <row r="101" spans="1:6" x14ac:dyDescent="0.3">
      <c r="A101" s="1">
        <v>100</v>
      </c>
      <c r="B101" t="s">
        <v>348</v>
      </c>
      <c r="C101" s="1" t="str" cm="1">
        <f t="array" ref="C101">_xlfn.IFS(LEN(B101) &lt;= 25, "Short", AND(LEN(B101) &gt; 25, LEN(B101) &lt;= 50), "Medium", LEN(B101) &gt; 50, "Long")</f>
        <v>Long</v>
      </c>
      <c r="D101" t="s">
        <v>80</v>
      </c>
      <c r="E101" t="s">
        <v>80</v>
      </c>
      <c r="F101" s="1" t="b">
        <f t="shared" si="6"/>
        <v>1</v>
      </c>
    </row>
    <row r="102" spans="1:6" x14ac:dyDescent="0.3">
      <c r="A102" s="1">
        <v>101</v>
      </c>
      <c r="B102" t="s">
        <v>349</v>
      </c>
      <c r="C102" s="1" t="str" cm="1">
        <f t="array" ref="C102">_xlfn.IFS(LEN(B102) &lt;= 25, "Short", AND(LEN(B102) &gt; 25, LEN(B102) &lt;= 50), "Medium", LEN(B102) &gt; 50, "Long")</f>
        <v>Long</v>
      </c>
      <c r="D102" t="s">
        <v>81</v>
      </c>
      <c r="E102" t="s">
        <v>242</v>
      </c>
      <c r="F102" s="1" t="b">
        <f t="shared" si="6"/>
        <v>0</v>
      </c>
    </row>
    <row r="103" spans="1:6" x14ac:dyDescent="0.3">
      <c r="A103" s="1">
        <v>102</v>
      </c>
      <c r="B103" t="s">
        <v>350</v>
      </c>
      <c r="C103" s="1" t="str" cm="1">
        <f t="array" ref="C103">_xlfn.IFS(LEN(B103) &lt;= 25, "Short", AND(LEN(B103) &gt; 25, LEN(B103) &lt;= 50), "Medium", LEN(B103) &gt; 50, "Long")</f>
        <v>Short</v>
      </c>
      <c r="D103" t="s">
        <v>76</v>
      </c>
      <c r="E103" t="s">
        <v>80</v>
      </c>
      <c r="F103" s="1" t="b">
        <f t="shared" si="6"/>
        <v>0</v>
      </c>
    </row>
    <row r="104" spans="1:6" x14ac:dyDescent="0.3">
      <c r="A104" s="1">
        <v>103</v>
      </c>
      <c r="B104" t="s">
        <v>351</v>
      </c>
      <c r="C104" s="1" t="str" cm="1">
        <f t="array" ref="C104">_xlfn.IFS(LEN(B104) &lt;= 25, "Short", AND(LEN(B104) &gt; 25, LEN(B104) &lt;= 50), "Medium", LEN(B104) &gt; 50, "Long")</f>
        <v>Medium</v>
      </c>
      <c r="D104" t="s">
        <v>76</v>
      </c>
      <c r="E104" t="s">
        <v>242</v>
      </c>
      <c r="F104" s="1" t="b">
        <f t="shared" si="6"/>
        <v>0</v>
      </c>
    </row>
    <row r="105" spans="1:6" x14ac:dyDescent="0.3">
      <c r="A105" s="1">
        <v>104</v>
      </c>
      <c r="B105" t="s">
        <v>352</v>
      </c>
      <c r="C105" s="1" t="str" cm="1">
        <f t="array" ref="C105">_xlfn.IFS(LEN(B105) &lt;= 25, "Short", AND(LEN(B105) &gt; 25, LEN(B105) &lt;= 50), "Medium", LEN(B105) &gt; 50, "Long")</f>
        <v>Short</v>
      </c>
      <c r="D105" t="s">
        <v>79</v>
      </c>
      <c r="E105" t="s">
        <v>82</v>
      </c>
      <c r="F105" s="1" t="b">
        <f t="shared" si="6"/>
        <v>0</v>
      </c>
    </row>
    <row r="106" spans="1:6" x14ac:dyDescent="0.3">
      <c r="A106" s="1">
        <v>105</v>
      </c>
      <c r="B106" t="s">
        <v>353</v>
      </c>
      <c r="C106" s="1" t="str" cm="1">
        <f t="array" ref="C106">_xlfn.IFS(LEN(B106) &lt;= 25, "Short", AND(LEN(B106) &gt; 25, LEN(B106) &lt;= 50), "Medium", LEN(B106) &gt; 50, "Long")</f>
        <v>Short</v>
      </c>
      <c r="D106" t="s">
        <v>81</v>
      </c>
      <c r="E106" t="s">
        <v>242</v>
      </c>
      <c r="F106" s="1" t="b">
        <f t="shared" si="6"/>
        <v>0</v>
      </c>
    </row>
    <row r="107" spans="1:6" x14ac:dyDescent="0.3">
      <c r="A107" s="1">
        <v>106</v>
      </c>
      <c r="B107" t="s">
        <v>354</v>
      </c>
      <c r="C107" s="1" t="str" cm="1">
        <f t="array" ref="C107">_xlfn.IFS(LEN(B107) &lt;= 25, "Short", AND(LEN(B107) &gt; 25, LEN(B107) &lt;= 50), "Medium", LEN(B107) &gt; 50, "Long")</f>
        <v>Long</v>
      </c>
      <c r="D107" t="s">
        <v>76</v>
      </c>
      <c r="E107" t="s">
        <v>76</v>
      </c>
      <c r="F107" s="1" t="b">
        <f t="shared" si="6"/>
        <v>1</v>
      </c>
    </row>
    <row r="108" spans="1:6" x14ac:dyDescent="0.3">
      <c r="A108" s="1">
        <v>107</v>
      </c>
      <c r="B108" t="s">
        <v>355</v>
      </c>
      <c r="C108" s="1" t="str" cm="1">
        <f t="array" ref="C108">_xlfn.IFS(LEN(B108) &lt;= 25, "Short", AND(LEN(B108) &gt; 25, LEN(B108) &lt;= 50), "Medium", LEN(B108) &gt; 50, "Long")</f>
        <v>Long</v>
      </c>
      <c r="D108" t="s">
        <v>77</v>
      </c>
      <c r="E108" t="s">
        <v>242</v>
      </c>
      <c r="F108" s="1" t="b">
        <f t="shared" si="6"/>
        <v>0</v>
      </c>
    </row>
    <row r="109" spans="1:6" x14ac:dyDescent="0.3">
      <c r="A109" s="1">
        <v>108</v>
      </c>
      <c r="B109" t="s">
        <v>356</v>
      </c>
      <c r="C109" s="1" t="str" cm="1">
        <f t="array" ref="C109">_xlfn.IFS(LEN(B109) &lt;= 25, "Short", AND(LEN(B109) &gt; 25, LEN(B109) &lt;= 50), "Medium", LEN(B109) &gt; 50, "Long")</f>
        <v>Long</v>
      </c>
      <c r="D109" t="s">
        <v>76</v>
      </c>
      <c r="E109" t="s">
        <v>76</v>
      </c>
      <c r="F109" s="1" t="b">
        <f t="shared" si="6"/>
        <v>1</v>
      </c>
    </row>
    <row r="110" spans="1:6" x14ac:dyDescent="0.3">
      <c r="A110" s="1">
        <v>109</v>
      </c>
      <c r="B110" t="s">
        <v>357</v>
      </c>
      <c r="C110" s="1" t="str" cm="1">
        <f t="array" ref="C110">_xlfn.IFS(LEN(B110) &lt;= 25, "Short", AND(LEN(B110) &gt; 25, LEN(B110) &lt;= 50), "Medium", LEN(B110) &gt; 50, "Long")</f>
        <v>Long</v>
      </c>
      <c r="D110" t="s">
        <v>77</v>
      </c>
      <c r="E110" t="s">
        <v>82</v>
      </c>
      <c r="F110" s="1" t="b">
        <f t="shared" si="6"/>
        <v>0</v>
      </c>
    </row>
    <row r="111" spans="1:6" x14ac:dyDescent="0.3">
      <c r="A111" s="1">
        <v>110</v>
      </c>
      <c r="B111" t="s">
        <v>358</v>
      </c>
      <c r="C111" s="1" t="str" cm="1">
        <f t="array" ref="C111">_xlfn.IFS(LEN(B111) &lt;= 25, "Short", AND(LEN(B111) &gt; 25, LEN(B111) &lt;= 50), "Medium", LEN(B111) &gt; 50, "Long")</f>
        <v>Short</v>
      </c>
      <c r="D111" t="s">
        <v>76</v>
      </c>
      <c r="E111" t="s">
        <v>76</v>
      </c>
      <c r="F111" s="1" t="b">
        <f t="shared" si="6"/>
        <v>1</v>
      </c>
    </row>
    <row r="112" spans="1:6" x14ac:dyDescent="0.3">
      <c r="A112" s="1">
        <v>111</v>
      </c>
      <c r="B112" t="s">
        <v>359</v>
      </c>
      <c r="C112" s="1" t="str" cm="1">
        <f t="array" ref="C112">_xlfn.IFS(LEN(B112) &lt;= 25, "Short", AND(LEN(B112) &gt; 25, LEN(B112) &lt;= 50), "Medium", LEN(B112) &gt; 50, "Long")</f>
        <v>Long</v>
      </c>
      <c r="D112" t="s">
        <v>81</v>
      </c>
      <c r="E112" t="s">
        <v>81</v>
      </c>
      <c r="F112" s="1" t="b">
        <f t="shared" si="6"/>
        <v>1</v>
      </c>
    </row>
    <row r="113" spans="1:6" x14ac:dyDescent="0.3">
      <c r="A113" s="1">
        <v>112</v>
      </c>
      <c r="B113" t="s">
        <v>360</v>
      </c>
      <c r="C113" s="1" t="str" cm="1">
        <f t="array" ref="C113">_xlfn.IFS(LEN(B113) &lt;= 25, "Short", AND(LEN(B113) &gt; 25, LEN(B113) &lt;= 50), "Medium", LEN(B113) &gt; 50, "Long")</f>
        <v>Long</v>
      </c>
      <c r="D113" t="s">
        <v>76</v>
      </c>
      <c r="E113" t="s">
        <v>76</v>
      </c>
      <c r="F113" s="1" t="b">
        <f t="shared" si="6"/>
        <v>1</v>
      </c>
    </row>
    <row r="114" spans="1:6" x14ac:dyDescent="0.3">
      <c r="A114" s="1">
        <v>113</v>
      </c>
      <c r="B114" t="s">
        <v>361</v>
      </c>
      <c r="C114" s="1" t="str" cm="1">
        <f t="array" ref="C114">_xlfn.IFS(LEN(B114) &lt;= 25, "Short", AND(LEN(B114) &gt; 25, LEN(B114) &lt;= 50), "Medium", LEN(B114) &gt; 50, "Long")</f>
        <v>Short</v>
      </c>
      <c r="D114" t="s">
        <v>81</v>
      </c>
      <c r="E114" t="s">
        <v>82</v>
      </c>
      <c r="F114" s="1" t="b">
        <f t="shared" si="6"/>
        <v>0</v>
      </c>
    </row>
    <row r="115" spans="1:6" x14ac:dyDescent="0.3">
      <c r="A115" s="1">
        <v>114</v>
      </c>
      <c r="B115" t="s">
        <v>362</v>
      </c>
      <c r="C115" s="1" t="str" cm="1">
        <f t="array" ref="C115">_xlfn.IFS(LEN(B115) &lt;= 25, "Short", AND(LEN(B115) &gt; 25, LEN(B115) &lt;= 50), "Medium", LEN(B115) &gt; 50, "Long")</f>
        <v>Long</v>
      </c>
      <c r="D115" t="s">
        <v>79</v>
      </c>
      <c r="E115" t="s">
        <v>242</v>
      </c>
      <c r="F115" s="1" t="b">
        <f t="shared" si="6"/>
        <v>0</v>
      </c>
    </row>
    <row r="116" spans="1:6" x14ac:dyDescent="0.3">
      <c r="A116" s="1">
        <v>115</v>
      </c>
      <c r="B116" t="s">
        <v>363</v>
      </c>
      <c r="C116" s="1" t="str" cm="1">
        <f t="array" ref="C116">_xlfn.IFS(LEN(B116) &lt;= 25, "Short", AND(LEN(B116) &gt; 25, LEN(B116) &lt;= 50), "Medium", LEN(B116) &gt; 50, "Long")</f>
        <v>Long</v>
      </c>
      <c r="D116" t="s">
        <v>77</v>
      </c>
      <c r="E116" t="s">
        <v>77</v>
      </c>
      <c r="F116" s="1" t="b">
        <f t="shared" si="6"/>
        <v>1</v>
      </c>
    </row>
    <row r="117" spans="1:6" x14ac:dyDescent="0.3">
      <c r="A117" s="1">
        <v>116</v>
      </c>
      <c r="B117" t="s">
        <v>364</v>
      </c>
      <c r="C117" s="1" t="str" cm="1">
        <f t="array" ref="C117">_xlfn.IFS(LEN(B117) &lt;= 25, "Short", AND(LEN(B117) &gt; 25, LEN(B117) &lt;= 50), "Medium", LEN(B117) &gt; 50, "Long")</f>
        <v>Medium</v>
      </c>
      <c r="D117" t="s">
        <v>76</v>
      </c>
      <c r="E117" t="s">
        <v>76</v>
      </c>
      <c r="F117" s="1" t="b">
        <f t="shared" si="6"/>
        <v>1</v>
      </c>
    </row>
    <row r="118" spans="1:6" x14ac:dyDescent="0.3">
      <c r="A118" s="1">
        <v>117</v>
      </c>
      <c r="B118" t="s">
        <v>365</v>
      </c>
      <c r="C118" s="1" t="str" cm="1">
        <f t="array" ref="C118">_xlfn.IFS(LEN(B118) &lt;= 25, "Short", AND(LEN(B118) &gt; 25, LEN(B118) &lt;= 50), "Medium", LEN(B118) &gt; 50, "Long")</f>
        <v>Medium</v>
      </c>
      <c r="D118" t="s">
        <v>79</v>
      </c>
      <c r="E118" t="s">
        <v>82</v>
      </c>
      <c r="F118" s="1" t="b">
        <f t="shared" si="6"/>
        <v>0</v>
      </c>
    </row>
    <row r="119" spans="1:6" x14ac:dyDescent="0.3">
      <c r="A119" s="1">
        <v>118</v>
      </c>
      <c r="B119" t="s">
        <v>366</v>
      </c>
      <c r="C119" s="1" t="str" cm="1">
        <f t="array" ref="C119">_xlfn.IFS(LEN(B119) &lt;= 25, "Short", AND(LEN(B119) &gt; 25, LEN(B119) &lt;= 50), "Medium", LEN(B119) &gt; 50, "Long")</f>
        <v>Medium</v>
      </c>
      <c r="D119" t="s">
        <v>242</v>
      </c>
      <c r="E119" t="s">
        <v>242</v>
      </c>
      <c r="F119" s="1" t="b">
        <f t="shared" si="6"/>
        <v>1</v>
      </c>
    </row>
    <row r="120" spans="1:6" x14ac:dyDescent="0.3">
      <c r="A120" s="1">
        <v>119</v>
      </c>
      <c r="B120" t="s">
        <v>367</v>
      </c>
      <c r="C120" s="1" t="str" cm="1">
        <f t="array" ref="C120">_xlfn.IFS(LEN(B120) &lt;= 25, "Short", AND(LEN(B120) &gt; 25, LEN(B120) &lt;= 50), "Medium", LEN(B120) &gt; 50, "Long")</f>
        <v>Long</v>
      </c>
      <c r="D120" t="s">
        <v>81</v>
      </c>
      <c r="E120" t="s">
        <v>81</v>
      </c>
      <c r="F120" s="1" t="b">
        <f t="shared" si="6"/>
        <v>1</v>
      </c>
    </row>
    <row r="121" spans="1:6" x14ac:dyDescent="0.3">
      <c r="A121" s="1">
        <v>120</v>
      </c>
      <c r="B121" t="s">
        <v>368</v>
      </c>
      <c r="C121" s="1" t="str" cm="1">
        <f t="array" ref="C121">_xlfn.IFS(LEN(B121) &lt;= 25, "Short", AND(LEN(B121) &gt; 25, LEN(B121) &lt;= 50), "Medium", LEN(B121) &gt; 50, "Long")</f>
        <v>Short</v>
      </c>
      <c r="D121" t="s">
        <v>80</v>
      </c>
      <c r="E121" t="s">
        <v>80</v>
      </c>
      <c r="F121" s="1" t="b">
        <f t="shared" si="6"/>
        <v>1</v>
      </c>
    </row>
    <row r="122" spans="1:6" x14ac:dyDescent="0.3">
      <c r="A122" s="1">
        <v>121</v>
      </c>
      <c r="B122" t="s">
        <v>369</v>
      </c>
      <c r="C122" s="1" t="str" cm="1">
        <f t="array" ref="C122">_xlfn.IFS(LEN(B122) &lt;= 25, "Short", AND(LEN(B122) &gt; 25, LEN(B122) &lt;= 50), "Medium", LEN(B122) &gt; 50, "Long")</f>
        <v>Short</v>
      </c>
      <c r="D122" t="s">
        <v>81</v>
      </c>
      <c r="E122" t="s">
        <v>79</v>
      </c>
      <c r="F122" s="1" t="b">
        <f t="shared" si="6"/>
        <v>0</v>
      </c>
    </row>
    <row r="123" spans="1:6" x14ac:dyDescent="0.3">
      <c r="A123" s="1">
        <v>122</v>
      </c>
      <c r="B123" t="s">
        <v>370</v>
      </c>
      <c r="C123" s="1" t="str" cm="1">
        <f t="array" ref="C123">_xlfn.IFS(LEN(B123) &lt;= 25, "Short", AND(LEN(B123) &gt; 25, LEN(B123) &lt;= 50), "Medium", LEN(B123) &gt; 50, "Long")</f>
        <v>Medium</v>
      </c>
      <c r="D123" t="s">
        <v>80</v>
      </c>
      <c r="E123" t="s">
        <v>80</v>
      </c>
      <c r="F123" s="1" t="b">
        <f t="shared" si="6"/>
        <v>1</v>
      </c>
    </row>
    <row r="124" spans="1:6" x14ac:dyDescent="0.3">
      <c r="A124" s="1">
        <v>123</v>
      </c>
      <c r="B124" t="s">
        <v>371</v>
      </c>
      <c r="C124" s="1" t="str" cm="1">
        <f t="array" ref="C124">_xlfn.IFS(LEN(B124) &lt;= 25, "Short", AND(LEN(B124) &gt; 25, LEN(B124) &lt;= 50), "Medium", LEN(B124) &gt; 50, "Long")</f>
        <v>Medium</v>
      </c>
      <c r="D124" t="s">
        <v>79</v>
      </c>
      <c r="E124" t="s">
        <v>81</v>
      </c>
      <c r="F124" s="1" t="b">
        <f t="shared" si="6"/>
        <v>0</v>
      </c>
    </row>
    <row r="125" spans="1:6" x14ac:dyDescent="0.3">
      <c r="A125" s="1">
        <v>124</v>
      </c>
      <c r="B125" t="s">
        <v>372</v>
      </c>
      <c r="C125" s="1" t="str" cm="1">
        <f t="array" ref="C125">_xlfn.IFS(LEN(B125) &lt;= 25, "Short", AND(LEN(B125) &gt; 25, LEN(B125) &lt;= 50), "Medium", LEN(B125) &gt; 50, "Long")</f>
        <v>Long</v>
      </c>
      <c r="D125" t="s">
        <v>76</v>
      </c>
      <c r="E125" t="s">
        <v>76</v>
      </c>
      <c r="F125" s="1" t="b">
        <f t="shared" si="6"/>
        <v>1</v>
      </c>
    </row>
    <row r="126" spans="1:6" x14ac:dyDescent="0.3">
      <c r="A126" s="1">
        <v>125</v>
      </c>
      <c r="B126" t="s">
        <v>373</v>
      </c>
      <c r="C126" s="1" t="str" cm="1">
        <f t="array" ref="C126">_xlfn.IFS(LEN(B126) &lt;= 25, "Short", AND(LEN(B126) &gt; 25, LEN(B126) &lt;= 50), "Medium", LEN(B126) &gt; 50, "Long")</f>
        <v>Short</v>
      </c>
      <c r="D126" t="s">
        <v>76</v>
      </c>
      <c r="E126" t="s">
        <v>82</v>
      </c>
      <c r="F126" s="1" t="b">
        <f t="shared" si="6"/>
        <v>0</v>
      </c>
    </row>
    <row r="127" spans="1:6" x14ac:dyDescent="0.3">
      <c r="A127" s="1">
        <v>126</v>
      </c>
      <c r="B127" t="s">
        <v>374</v>
      </c>
      <c r="C127" s="1" t="str" cm="1">
        <f t="array" ref="C127">_xlfn.IFS(LEN(B127) &lt;= 25, "Short", AND(LEN(B127) &gt; 25, LEN(B127) &lt;= 50), "Medium", LEN(B127) &gt; 50, "Long")</f>
        <v>Medium</v>
      </c>
      <c r="D127" t="s">
        <v>79</v>
      </c>
      <c r="E127" t="s">
        <v>77</v>
      </c>
      <c r="F127" s="1" t="b">
        <f t="shared" si="6"/>
        <v>0</v>
      </c>
    </row>
    <row r="128" spans="1:6" x14ac:dyDescent="0.3">
      <c r="A128" s="1">
        <v>127</v>
      </c>
      <c r="B128" t="s">
        <v>375</v>
      </c>
      <c r="C128" s="1" t="str" cm="1">
        <f t="array" ref="C128">_xlfn.IFS(LEN(B128) &lt;= 25, "Short", AND(LEN(B128) &gt; 25, LEN(B128) &lt;= 50), "Medium", LEN(B128) &gt; 50, "Long")</f>
        <v>Medium</v>
      </c>
      <c r="D128" t="s">
        <v>76</v>
      </c>
      <c r="E128" t="s">
        <v>76</v>
      </c>
      <c r="F128" s="1" t="b">
        <f t="shared" si="6"/>
        <v>1</v>
      </c>
    </row>
    <row r="129" spans="1:6" x14ac:dyDescent="0.3">
      <c r="A129" s="1">
        <v>128</v>
      </c>
      <c r="B129" t="s">
        <v>376</v>
      </c>
      <c r="C129" s="1" t="str" cm="1">
        <f t="array" ref="C129">_xlfn.IFS(LEN(B129) &lt;= 25, "Short", AND(LEN(B129) &gt; 25, LEN(B129) &lt;= 50), "Medium", LEN(B129) &gt; 50, "Long")</f>
        <v>Short</v>
      </c>
      <c r="D129" t="s">
        <v>76</v>
      </c>
      <c r="E129" t="s">
        <v>76</v>
      </c>
      <c r="F129" s="1" t="b">
        <f t="shared" si="6"/>
        <v>1</v>
      </c>
    </row>
    <row r="130" spans="1:6" x14ac:dyDescent="0.3">
      <c r="A130" s="1">
        <v>129</v>
      </c>
      <c r="B130" t="s">
        <v>377</v>
      </c>
      <c r="C130" s="1" t="str" cm="1">
        <f t="array" ref="C130">_xlfn.IFS(LEN(B130) &lt;= 25, "Short", AND(LEN(B130) &gt; 25, LEN(B130) &lt;= 50), "Medium", LEN(B130) &gt; 50, "Long")</f>
        <v>Long</v>
      </c>
      <c r="D130" t="s">
        <v>76</v>
      </c>
      <c r="E130" t="s">
        <v>82</v>
      </c>
      <c r="F130" s="1" t="b">
        <f t="shared" si="6"/>
        <v>0</v>
      </c>
    </row>
    <row r="131" spans="1:6" x14ac:dyDescent="0.3">
      <c r="A131" s="1">
        <v>130</v>
      </c>
      <c r="B131" t="s">
        <v>378</v>
      </c>
      <c r="C131" s="1" t="str" cm="1">
        <f t="array" ref="C131">_xlfn.IFS(LEN(B131) &lt;= 25, "Short", AND(LEN(B131) &gt; 25, LEN(B131) &lt;= 50), "Medium", LEN(B131) &gt; 50, "Long")</f>
        <v>Medium</v>
      </c>
      <c r="D131" t="s">
        <v>77</v>
      </c>
      <c r="E131" t="s">
        <v>77</v>
      </c>
      <c r="F131" s="1" t="b">
        <f t="shared" ref="F131:F194" si="7">IF(D131=E131, TRUE, FALSE)</f>
        <v>1</v>
      </c>
    </row>
    <row r="132" spans="1:6" x14ac:dyDescent="0.3">
      <c r="A132" s="1">
        <v>131</v>
      </c>
      <c r="B132" t="s">
        <v>379</v>
      </c>
      <c r="C132" s="1" t="str" cm="1">
        <f t="array" ref="C132">_xlfn.IFS(LEN(B132) &lt;= 25, "Short", AND(LEN(B132) &gt; 25, LEN(B132) &lt;= 50), "Medium", LEN(B132) &gt; 50, "Long")</f>
        <v>Long</v>
      </c>
      <c r="D132" t="s">
        <v>76</v>
      </c>
      <c r="E132" t="s">
        <v>76</v>
      </c>
      <c r="F132" s="1" t="b">
        <f t="shared" si="7"/>
        <v>1</v>
      </c>
    </row>
    <row r="133" spans="1:6" x14ac:dyDescent="0.3">
      <c r="A133" s="1">
        <v>132</v>
      </c>
      <c r="B133" t="s">
        <v>380</v>
      </c>
      <c r="C133" s="1" t="str" cm="1">
        <f t="array" ref="C133">_xlfn.IFS(LEN(B133) &lt;= 25, "Short", AND(LEN(B133) &gt; 25, LEN(B133) &lt;= 50), "Medium", LEN(B133) &gt; 50, "Long")</f>
        <v>Medium</v>
      </c>
      <c r="D133" t="s">
        <v>76</v>
      </c>
      <c r="E133" t="s">
        <v>82</v>
      </c>
      <c r="F133" s="1" t="b">
        <f t="shared" si="7"/>
        <v>0</v>
      </c>
    </row>
    <row r="134" spans="1:6" x14ac:dyDescent="0.3">
      <c r="A134" s="1">
        <v>133</v>
      </c>
      <c r="B134" t="s">
        <v>381</v>
      </c>
      <c r="C134" s="1" t="str" cm="1">
        <f t="array" ref="C134">_xlfn.IFS(LEN(B134) &lt;= 25, "Short", AND(LEN(B134) &gt; 25, LEN(B134) &lt;= 50), "Medium", LEN(B134) &gt; 50, "Long")</f>
        <v>Medium</v>
      </c>
      <c r="D134" t="s">
        <v>76</v>
      </c>
      <c r="E134" t="s">
        <v>76</v>
      </c>
      <c r="F134" s="1" t="b">
        <f t="shared" si="7"/>
        <v>1</v>
      </c>
    </row>
    <row r="135" spans="1:6" x14ac:dyDescent="0.3">
      <c r="A135" s="1">
        <v>134</v>
      </c>
      <c r="B135" t="s">
        <v>382</v>
      </c>
      <c r="C135" s="1" t="str" cm="1">
        <f t="array" ref="C135">_xlfn.IFS(LEN(B135) &lt;= 25, "Short", AND(LEN(B135) &gt; 25, LEN(B135) &lt;= 50), "Medium", LEN(B135) &gt; 50, "Long")</f>
        <v>Long</v>
      </c>
      <c r="D135" t="s">
        <v>76</v>
      </c>
      <c r="E135" t="s">
        <v>76</v>
      </c>
      <c r="F135" s="1" t="b">
        <f t="shared" si="7"/>
        <v>1</v>
      </c>
    </row>
    <row r="136" spans="1:6" x14ac:dyDescent="0.3">
      <c r="A136" s="1">
        <v>135</v>
      </c>
      <c r="B136" t="s">
        <v>383</v>
      </c>
      <c r="C136" s="1" t="str" cm="1">
        <f t="array" ref="C136">_xlfn.IFS(LEN(B136) &lt;= 25, "Short", AND(LEN(B136) &gt; 25, LEN(B136) &lt;= 50), "Medium", LEN(B136) &gt; 50, "Long")</f>
        <v>Long</v>
      </c>
      <c r="D136" t="s">
        <v>76</v>
      </c>
      <c r="E136" t="s">
        <v>76</v>
      </c>
      <c r="F136" s="1" t="b">
        <f t="shared" si="7"/>
        <v>1</v>
      </c>
    </row>
    <row r="137" spans="1:6" x14ac:dyDescent="0.3">
      <c r="A137" s="1">
        <v>136</v>
      </c>
      <c r="B137" t="s">
        <v>384</v>
      </c>
      <c r="C137" s="1" t="str" cm="1">
        <f t="array" ref="C137">_xlfn.IFS(LEN(B137) &lt;= 25, "Short", AND(LEN(B137) &gt; 25, LEN(B137) &lt;= 50), "Medium", LEN(B137) &gt; 50, "Long")</f>
        <v>Short</v>
      </c>
      <c r="D137" t="s">
        <v>76</v>
      </c>
      <c r="E137" t="s">
        <v>76</v>
      </c>
      <c r="F137" s="1" t="b">
        <f t="shared" si="7"/>
        <v>1</v>
      </c>
    </row>
    <row r="138" spans="1:6" x14ac:dyDescent="0.3">
      <c r="A138" s="1">
        <v>137</v>
      </c>
      <c r="B138" t="s">
        <v>385</v>
      </c>
      <c r="C138" s="1" t="str" cm="1">
        <f t="array" ref="C138">_xlfn.IFS(LEN(B138) &lt;= 25, "Short", AND(LEN(B138) &gt; 25, LEN(B138) &lt;= 50), "Medium", LEN(B138) &gt; 50, "Long")</f>
        <v>Long</v>
      </c>
      <c r="D138" t="s">
        <v>81</v>
      </c>
      <c r="E138" t="s">
        <v>81</v>
      </c>
      <c r="F138" s="1" t="b">
        <f t="shared" si="7"/>
        <v>1</v>
      </c>
    </row>
    <row r="139" spans="1:6" x14ac:dyDescent="0.3">
      <c r="A139" s="1">
        <v>138</v>
      </c>
      <c r="B139" t="s">
        <v>386</v>
      </c>
      <c r="C139" s="1" t="str" cm="1">
        <f t="array" ref="C139">_xlfn.IFS(LEN(B139) &lt;= 25, "Short", AND(LEN(B139) &gt; 25, LEN(B139) &lt;= 50), "Medium", LEN(B139) &gt; 50, "Long")</f>
        <v>Short</v>
      </c>
      <c r="D139" t="s">
        <v>79</v>
      </c>
      <c r="E139" t="s">
        <v>82</v>
      </c>
      <c r="F139" s="1" t="b">
        <f t="shared" si="7"/>
        <v>0</v>
      </c>
    </row>
    <row r="140" spans="1:6" x14ac:dyDescent="0.3">
      <c r="A140" s="1">
        <v>139</v>
      </c>
      <c r="B140" t="s">
        <v>387</v>
      </c>
      <c r="C140" s="1" t="str" cm="1">
        <f t="array" ref="C140">_xlfn.IFS(LEN(B140) &lt;= 25, "Short", AND(LEN(B140) &gt; 25, LEN(B140) &lt;= 50), "Medium", LEN(B140) &gt; 50, "Long")</f>
        <v>Long</v>
      </c>
      <c r="D140" t="s">
        <v>76</v>
      </c>
      <c r="E140" t="s">
        <v>76</v>
      </c>
      <c r="F140" s="1" t="b">
        <f t="shared" si="7"/>
        <v>1</v>
      </c>
    </row>
    <row r="141" spans="1:6" x14ac:dyDescent="0.3">
      <c r="A141" s="1">
        <v>140</v>
      </c>
      <c r="B141" t="s">
        <v>388</v>
      </c>
      <c r="C141" s="1" t="str" cm="1">
        <f t="array" ref="C141">_xlfn.IFS(LEN(B141) &lt;= 25, "Short", AND(LEN(B141) &gt; 25, LEN(B141) &lt;= 50), "Medium", LEN(B141) &gt; 50, "Long")</f>
        <v>Long</v>
      </c>
      <c r="D141" t="s">
        <v>79</v>
      </c>
      <c r="E141" t="s">
        <v>79</v>
      </c>
      <c r="F141" s="1" t="b">
        <f t="shared" si="7"/>
        <v>1</v>
      </c>
    </row>
    <row r="142" spans="1:6" x14ac:dyDescent="0.3">
      <c r="A142" s="1">
        <v>141</v>
      </c>
      <c r="B142" t="s">
        <v>389</v>
      </c>
      <c r="C142" s="1" t="str" cm="1">
        <f t="array" ref="C142">_xlfn.IFS(LEN(B142) &lt;= 25, "Short", AND(LEN(B142) &gt; 25, LEN(B142) &lt;= 50), "Medium", LEN(B142) &gt; 50, "Long")</f>
        <v>Long</v>
      </c>
      <c r="D142" t="s">
        <v>81</v>
      </c>
      <c r="E142" t="s">
        <v>79</v>
      </c>
      <c r="F142" s="1" t="b">
        <f t="shared" si="7"/>
        <v>0</v>
      </c>
    </row>
    <row r="143" spans="1:6" x14ac:dyDescent="0.3">
      <c r="A143" s="1">
        <v>142</v>
      </c>
      <c r="B143" t="s">
        <v>390</v>
      </c>
      <c r="C143" s="1" t="str" cm="1">
        <f t="array" ref="C143">_xlfn.IFS(LEN(B143) &lt;= 25, "Short", AND(LEN(B143) &gt; 25, LEN(B143) &lt;= 50), "Medium", LEN(B143) &gt; 50, "Long")</f>
        <v>Long</v>
      </c>
      <c r="D143" t="s">
        <v>76</v>
      </c>
      <c r="E143" t="s">
        <v>76</v>
      </c>
      <c r="F143" s="1" t="b">
        <f t="shared" si="7"/>
        <v>1</v>
      </c>
    </row>
    <row r="144" spans="1:6" x14ac:dyDescent="0.3">
      <c r="A144" s="1">
        <v>143</v>
      </c>
      <c r="B144" t="s">
        <v>391</v>
      </c>
      <c r="C144" s="1" t="str" cm="1">
        <f t="array" ref="C144">_xlfn.IFS(LEN(B144) &lt;= 25, "Short", AND(LEN(B144) &gt; 25, LEN(B144) &lt;= 50), "Medium", LEN(B144) &gt; 50, "Long")</f>
        <v>Long</v>
      </c>
      <c r="D144" t="s">
        <v>80</v>
      </c>
      <c r="E144" t="s">
        <v>80</v>
      </c>
      <c r="F144" s="1" t="b">
        <f t="shared" si="7"/>
        <v>1</v>
      </c>
    </row>
    <row r="145" spans="1:6" x14ac:dyDescent="0.3">
      <c r="A145" s="1">
        <v>144</v>
      </c>
      <c r="B145" t="s">
        <v>392</v>
      </c>
      <c r="C145" s="1" t="str" cm="1">
        <f t="array" ref="C145">_xlfn.IFS(LEN(B145) &lt;= 25, "Short", AND(LEN(B145) &gt; 25, LEN(B145) &lt;= 50), "Medium", LEN(B145) &gt; 50, "Long")</f>
        <v>Medium</v>
      </c>
      <c r="D145" t="s">
        <v>81</v>
      </c>
      <c r="E145" t="s">
        <v>81</v>
      </c>
      <c r="F145" s="1" t="b">
        <f t="shared" si="7"/>
        <v>1</v>
      </c>
    </row>
    <row r="146" spans="1:6" x14ac:dyDescent="0.3">
      <c r="A146" s="1">
        <v>145</v>
      </c>
      <c r="B146" t="s">
        <v>393</v>
      </c>
      <c r="C146" s="1" t="str" cm="1">
        <f t="array" ref="C146">_xlfn.IFS(LEN(B146) &lt;= 25, "Short", AND(LEN(B146) &gt; 25, LEN(B146) &lt;= 50), "Medium", LEN(B146) &gt; 50, "Long")</f>
        <v>Short</v>
      </c>
      <c r="D146" t="s">
        <v>77</v>
      </c>
      <c r="E146" t="s">
        <v>82</v>
      </c>
      <c r="F146" s="1" t="b">
        <f t="shared" si="7"/>
        <v>0</v>
      </c>
    </row>
    <row r="147" spans="1:6" x14ac:dyDescent="0.3">
      <c r="A147" s="1">
        <v>146</v>
      </c>
      <c r="B147" t="s">
        <v>394</v>
      </c>
      <c r="C147" s="1" t="str" cm="1">
        <f t="array" ref="C147">_xlfn.IFS(LEN(B147) &lt;= 25, "Short", AND(LEN(B147) &gt; 25, LEN(B147) &lt;= 50), "Medium", LEN(B147) &gt; 50, "Long")</f>
        <v>Long</v>
      </c>
      <c r="D147" t="s">
        <v>81</v>
      </c>
      <c r="E147" t="s">
        <v>77</v>
      </c>
      <c r="F147" s="1" t="b">
        <f t="shared" si="7"/>
        <v>0</v>
      </c>
    </row>
    <row r="148" spans="1:6" x14ac:dyDescent="0.3">
      <c r="A148" s="1">
        <v>147</v>
      </c>
      <c r="B148" t="s">
        <v>395</v>
      </c>
      <c r="C148" s="1" t="str" cm="1">
        <f t="array" ref="C148">_xlfn.IFS(LEN(B148) &lt;= 25, "Short", AND(LEN(B148) &gt; 25, LEN(B148) &lt;= 50), "Medium", LEN(B148) &gt; 50, "Long")</f>
        <v>Long</v>
      </c>
      <c r="D148" t="s">
        <v>81</v>
      </c>
      <c r="E148" t="s">
        <v>242</v>
      </c>
      <c r="F148" s="1" t="b">
        <f t="shared" si="7"/>
        <v>0</v>
      </c>
    </row>
    <row r="149" spans="1:6" x14ac:dyDescent="0.3">
      <c r="A149" s="1">
        <v>148</v>
      </c>
      <c r="B149" t="s">
        <v>396</v>
      </c>
      <c r="C149" s="1" t="str" cm="1">
        <f t="array" ref="C149">_xlfn.IFS(LEN(B149) &lt;= 25, "Short", AND(LEN(B149) &gt; 25, LEN(B149) &lt;= 50), "Medium", LEN(B149) &gt; 50, "Long")</f>
        <v>Long</v>
      </c>
      <c r="D149" t="s">
        <v>76</v>
      </c>
      <c r="E149" t="s">
        <v>76</v>
      </c>
      <c r="F149" s="1" t="b">
        <f t="shared" si="7"/>
        <v>1</v>
      </c>
    </row>
    <row r="150" spans="1:6" x14ac:dyDescent="0.3">
      <c r="A150" s="1">
        <v>149</v>
      </c>
      <c r="B150" t="s">
        <v>397</v>
      </c>
      <c r="C150" s="1" t="str" cm="1">
        <f t="array" ref="C150">_xlfn.IFS(LEN(B150) &lt;= 25, "Short", AND(LEN(B150) &gt; 25, LEN(B150) &lt;= 50), "Medium", LEN(B150) &gt; 50, "Long")</f>
        <v>Medium</v>
      </c>
      <c r="D150" t="s">
        <v>77</v>
      </c>
      <c r="E150" t="s">
        <v>82</v>
      </c>
      <c r="F150" s="1" t="b">
        <f t="shared" si="7"/>
        <v>0</v>
      </c>
    </row>
    <row r="151" spans="1:6" x14ac:dyDescent="0.3">
      <c r="A151" s="1">
        <v>150</v>
      </c>
      <c r="B151" t="s">
        <v>398</v>
      </c>
      <c r="C151" s="1" t="str" cm="1">
        <f t="array" ref="C151">_xlfn.IFS(LEN(B151) &lt;= 25, "Short", AND(LEN(B151) &gt; 25, LEN(B151) &lt;= 50), "Medium", LEN(B151) &gt; 50, "Long")</f>
        <v>Long</v>
      </c>
      <c r="D151" t="s">
        <v>76</v>
      </c>
      <c r="E151" t="s">
        <v>76</v>
      </c>
      <c r="F151" s="1" t="b">
        <f t="shared" si="7"/>
        <v>1</v>
      </c>
    </row>
    <row r="152" spans="1:6" x14ac:dyDescent="0.3">
      <c r="A152" s="1">
        <v>151</v>
      </c>
      <c r="B152" t="s">
        <v>399</v>
      </c>
      <c r="C152" s="1" t="str" cm="1">
        <f t="array" ref="C152">_xlfn.IFS(LEN(B152) &lt;= 25, "Short", AND(LEN(B152) &gt; 25, LEN(B152) &lt;= 50), "Medium", LEN(B152) &gt; 50, "Long")</f>
        <v>Short</v>
      </c>
      <c r="D152" t="s">
        <v>79</v>
      </c>
      <c r="E152" t="s">
        <v>242</v>
      </c>
      <c r="F152" s="1" t="b">
        <f t="shared" si="7"/>
        <v>0</v>
      </c>
    </row>
    <row r="153" spans="1:6" x14ac:dyDescent="0.3">
      <c r="A153" s="1">
        <v>152</v>
      </c>
      <c r="B153" t="s">
        <v>400</v>
      </c>
      <c r="C153" s="1" t="str" cm="1">
        <f t="array" ref="C153">_xlfn.IFS(LEN(B153) &lt;= 25, "Short", AND(LEN(B153) &gt; 25, LEN(B153) &lt;= 50), "Medium", LEN(B153) &gt; 50, "Long")</f>
        <v>Medium</v>
      </c>
      <c r="D153" t="s">
        <v>81</v>
      </c>
      <c r="E153" t="s">
        <v>82</v>
      </c>
      <c r="F153" s="1" t="b">
        <f t="shared" si="7"/>
        <v>0</v>
      </c>
    </row>
    <row r="154" spans="1:6" x14ac:dyDescent="0.3">
      <c r="A154" s="1">
        <v>153</v>
      </c>
      <c r="B154" t="s">
        <v>401</v>
      </c>
      <c r="C154" s="1" t="str" cm="1">
        <f t="array" ref="C154">_xlfn.IFS(LEN(B154) &lt;= 25, "Short", AND(LEN(B154) &gt; 25, LEN(B154) &lt;= 50), "Medium", LEN(B154) &gt; 50, "Long")</f>
        <v>Short</v>
      </c>
      <c r="D154" t="s">
        <v>81</v>
      </c>
      <c r="E154" t="s">
        <v>79</v>
      </c>
      <c r="F154" s="1" t="b">
        <f t="shared" si="7"/>
        <v>0</v>
      </c>
    </row>
    <row r="155" spans="1:6" x14ac:dyDescent="0.3">
      <c r="A155" s="1">
        <v>154</v>
      </c>
      <c r="B155" t="s">
        <v>402</v>
      </c>
      <c r="C155" s="1" t="str" cm="1">
        <f t="array" ref="C155">_xlfn.IFS(LEN(B155) &lt;= 25, "Short", AND(LEN(B155) &gt; 25, LEN(B155) &lt;= 50), "Medium", LEN(B155) &gt; 50, "Long")</f>
        <v>Medium</v>
      </c>
      <c r="D155" t="s">
        <v>242</v>
      </c>
      <c r="E155" t="s">
        <v>242</v>
      </c>
      <c r="F155" s="1" t="b">
        <f t="shared" si="7"/>
        <v>1</v>
      </c>
    </row>
    <row r="156" spans="1:6" x14ac:dyDescent="0.3">
      <c r="A156" s="1">
        <v>155</v>
      </c>
      <c r="B156" t="s">
        <v>403</v>
      </c>
      <c r="C156" s="1" t="str" cm="1">
        <f t="array" ref="C156">_xlfn.IFS(LEN(B156) &lt;= 25, "Short", AND(LEN(B156) &gt; 25, LEN(B156) &lt;= 50), "Medium", LEN(B156) &gt; 50, "Long")</f>
        <v>Long</v>
      </c>
      <c r="D156" t="s">
        <v>76</v>
      </c>
      <c r="E156" t="s">
        <v>76</v>
      </c>
      <c r="F156" s="1" t="b">
        <f t="shared" si="7"/>
        <v>1</v>
      </c>
    </row>
    <row r="157" spans="1:6" x14ac:dyDescent="0.3">
      <c r="A157" s="1">
        <v>156</v>
      </c>
      <c r="B157" t="s">
        <v>404</v>
      </c>
      <c r="C157" s="1" t="str" cm="1">
        <f t="array" ref="C157">_xlfn.IFS(LEN(B157) &lt;= 25, "Short", AND(LEN(B157) &gt; 25, LEN(B157) &lt;= 50), "Medium", LEN(B157) &gt; 50, "Long")</f>
        <v>Medium</v>
      </c>
      <c r="D157" t="s">
        <v>79</v>
      </c>
      <c r="E157" t="s">
        <v>80</v>
      </c>
      <c r="F157" s="1" t="b">
        <f t="shared" si="7"/>
        <v>0</v>
      </c>
    </row>
    <row r="158" spans="1:6" x14ac:dyDescent="0.3">
      <c r="A158" s="1">
        <v>157</v>
      </c>
      <c r="B158" t="s">
        <v>405</v>
      </c>
      <c r="C158" s="1" t="str" cm="1">
        <f t="array" ref="C158">_xlfn.IFS(LEN(B158) &lt;= 25, "Short", AND(LEN(B158) &gt; 25, LEN(B158) &lt;= 50), "Medium", LEN(B158) &gt; 50, "Long")</f>
        <v>Long</v>
      </c>
      <c r="D158" t="s">
        <v>77</v>
      </c>
      <c r="E158" t="s">
        <v>77</v>
      </c>
      <c r="F158" s="1" t="b">
        <f t="shared" si="7"/>
        <v>1</v>
      </c>
    </row>
    <row r="159" spans="1:6" x14ac:dyDescent="0.3">
      <c r="A159" s="1">
        <v>158</v>
      </c>
      <c r="B159" t="s">
        <v>406</v>
      </c>
      <c r="C159" s="1" t="str" cm="1">
        <f t="array" ref="C159">_xlfn.IFS(LEN(B159) &lt;= 25, "Short", AND(LEN(B159) &gt; 25, LEN(B159) &lt;= 50), "Medium", LEN(B159) &gt; 50, "Long")</f>
        <v>Long</v>
      </c>
      <c r="D159" t="s">
        <v>77</v>
      </c>
      <c r="E159" t="s">
        <v>82</v>
      </c>
      <c r="F159" s="1" t="b">
        <f t="shared" si="7"/>
        <v>0</v>
      </c>
    </row>
    <row r="160" spans="1:6" x14ac:dyDescent="0.3">
      <c r="A160" s="1">
        <v>159</v>
      </c>
      <c r="B160" t="s">
        <v>407</v>
      </c>
      <c r="C160" s="1" t="str" cm="1">
        <f t="array" ref="C160">_xlfn.IFS(LEN(B160) &lt;= 25, "Short", AND(LEN(B160) &gt; 25, LEN(B160) &lt;= 50), "Medium", LEN(B160) &gt; 50, "Long")</f>
        <v>Short</v>
      </c>
      <c r="D160" t="s">
        <v>81</v>
      </c>
      <c r="E160" t="s">
        <v>77</v>
      </c>
      <c r="F160" s="1" t="b">
        <f t="shared" si="7"/>
        <v>0</v>
      </c>
    </row>
    <row r="161" spans="1:6" x14ac:dyDescent="0.3">
      <c r="A161" s="1">
        <v>160</v>
      </c>
      <c r="B161" t="s">
        <v>408</v>
      </c>
      <c r="C161" s="1" t="str" cm="1">
        <f t="array" ref="C161">_xlfn.IFS(LEN(B161) &lt;= 25, "Short", AND(LEN(B161) &gt; 25, LEN(B161) &lt;= 50), "Medium", LEN(B161) &gt; 50, "Long")</f>
        <v>Long</v>
      </c>
      <c r="D161" t="s">
        <v>80</v>
      </c>
      <c r="E161" t="s">
        <v>80</v>
      </c>
      <c r="F161" s="1" t="b">
        <f t="shared" si="7"/>
        <v>1</v>
      </c>
    </row>
    <row r="162" spans="1:6" x14ac:dyDescent="0.3">
      <c r="A162" s="1">
        <v>161</v>
      </c>
      <c r="B162" t="s">
        <v>409</v>
      </c>
      <c r="C162" s="1" t="str" cm="1">
        <f t="array" ref="C162">_xlfn.IFS(LEN(B162) &lt;= 25, "Short", AND(LEN(B162) &gt; 25, LEN(B162) &lt;= 50), "Medium", LEN(B162) &gt; 50, "Long")</f>
        <v>Medium</v>
      </c>
      <c r="D162" t="s">
        <v>81</v>
      </c>
      <c r="E162" t="s">
        <v>242</v>
      </c>
      <c r="F162" s="1" t="b">
        <f t="shared" si="7"/>
        <v>0</v>
      </c>
    </row>
    <row r="163" spans="1:6" x14ac:dyDescent="0.3">
      <c r="A163" s="1">
        <v>162</v>
      </c>
      <c r="B163" t="s">
        <v>410</v>
      </c>
      <c r="C163" s="1" t="str" cm="1">
        <f t="array" ref="C163">_xlfn.IFS(LEN(B163) &lt;= 25, "Short", AND(LEN(B163) &gt; 25, LEN(B163) &lt;= 50), "Medium", LEN(B163) &gt; 50, "Long")</f>
        <v>Long</v>
      </c>
      <c r="D163" t="s">
        <v>77</v>
      </c>
      <c r="E163" t="s">
        <v>77</v>
      </c>
      <c r="F163" s="1" t="b">
        <f t="shared" si="7"/>
        <v>1</v>
      </c>
    </row>
    <row r="164" spans="1:6" x14ac:dyDescent="0.3">
      <c r="A164" s="1">
        <v>163</v>
      </c>
      <c r="B164" t="s">
        <v>411</v>
      </c>
      <c r="C164" s="1" t="str" cm="1">
        <f t="array" ref="C164">_xlfn.IFS(LEN(B164) &lt;= 25, "Short", AND(LEN(B164) &gt; 25, LEN(B164) &lt;= 50), "Medium", LEN(B164) &gt; 50, "Long")</f>
        <v>Long</v>
      </c>
      <c r="D164" t="s">
        <v>81</v>
      </c>
      <c r="E164" t="s">
        <v>77</v>
      </c>
      <c r="F164" s="1" t="b">
        <f t="shared" si="7"/>
        <v>0</v>
      </c>
    </row>
    <row r="165" spans="1:6" x14ac:dyDescent="0.3">
      <c r="A165" s="1">
        <v>164</v>
      </c>
      <c r="B165" t="s">
        <v>412</v>
      </c>
      <c r="C165" s="1" t="str" cm="1">
        <f t="array" ref="C165">_xlfn.IFS(LEN(B165) &lt;= 25, "Short", AND(LEN(B165) &gt; 25, LEN(B165) &lt;= 50), "Medium", LEN(B165) &gt; 50, "Long")</f>
        <v>Long</v>
      </c>
      <c r="D165" t="s">
        <v>82</v>
      </c>
      <c r="E165" t="s">
        <v>82</v>
      </c>
      <c r="F165" s="1" t="b">
        <f t="shared" si="7"/>
        <v>1</v>
      </c>
    </row>
    <row r="166" spans="1:6" x14ac:dyDescent="0.3">
      <c r="A166" s="1">
        <v>165</v>
      </c>
      <c r="B166" t="s">
        <v>413</v>
      </c>
      <c r="C166" s="1" t="str" cm="1">
        <f t="array" ref="C166">_xlfn.IFS(LEN(B166) &lt;= 25, "Short", AND(LEN(B166) &gt; 25, LEN(B166) &lt;= 50), "Medium", LEN(B166) &gt; 50, "Long")</f>
        <v>Long</v>
      </c>
      <c r="D166" t="s">
        <v>81</v>
      </c>
      <c r="E166" t="s">
        <v>242</v>
      </c>
      <c r="F166" s="1" t="b">
        <f t="shared" si="7"/>
        <v>0</v>
      </c>
    </row>
    <row r="167" spans="1:6" x14ac:dyDescent="0.3">
      <c r="A167" s="1">
        <v>166</v>
      </c>
      <c r="B167" t="s">
        <v>414</v>
      </c>
      <c r="C167" s="1" t="str" cm="1">
        <f t="array" ref="C167">_xlfn.IFS(LEN(B167) &lt;= 25, "Short", AND(LEN(B167) &gt; 25, LEN(B167) &lt;= 50), "Medium", LEN(B167) &gt; 50, "Long")</f>
        <v>Short</v>
      </c>
      <c r="D167" t="s">
        <v>77</v>
      </c>
      <c r="E167" t="s">
        <v>82</v>
      </c>
      <c r="F167" s="1" t="b">
        <f t="shared" si="7"/>
        <v>0</v>
      </c>
    </row>
    <row r="168" spans="1:6" x14ac:dyDescent="0.3">
      <c r="A168" s="1">
        <v>167</v>
      </c>
      <c r="B168" t="s">
        <v>415</v>
      </c>
      <c r="C168" s="1" t="str" cm="1">
        <f t="array" ref="C168">_xlfn.IFS(LEN(B168) &lt;= 25, "Short", AND(LEN(B168) &gt; 25, LEN(B168) &lt;= 50), "Medium", LEN(B168) &gt; 50, "Long")</f>
        <v>Long</v>
      </c>
      <c r="D168" t="s">
        <v>81</v>
      </c>
      <c r="E168" t="s">
        <v>81</v>
      </c>
      <c r="F168" s="1" t="b">
        <f t="shared" si="7"/>
        <v>1</v>
      </c>
    </row>
    <row r="169" spans="1:6" x14ac:dyDescent="0.3">
      <c r="A169" s="1">
        <v>168</v>
      </c>
      <c r="B169" t="s">
        <v>416</v>
      </c>
      <c r="C169" s="1" t="str" cm="1">
        <f t="array" ref="C169">_xlfn.IFS(LEN(B169) &lt;= 25, "Short", AND(LEN(B169) &gt; 25, LEN(B169) &lt;= 50), "Medium", LEN(B169) &gt; 50, "Long")</f>
        <v>Long</v>
      </c>
      <c r="D169" t="s">
        <v>76</v>
      </c>
      <c r="E169" t="s">
        <v>76</v>
      </c>
      <c r="F169" s="1" t="b">
        <f t="shared" si="7"/>
        <v>1</v>
      </c>
    </row>
    <row r="170" spans="1:6" x14ac:dyDescent="0.3">
      <c r="A170" s="1">
        <v>169</v>
      </c>
      <c r="B170" t="s">
        <v>417</v>
      </c>
      <c r="C170" s="1" t="str" cm="1">
        <f t="array" ref="C170">_xlfn.IFS(LEN(B170) &lt;= 25, "Short", AND(LEN(B170) &gt; 25, LEN(B170) &lt;= 50), "Medium", LEN(B170) &gt; 50, "Long")</f>
        <v>Long</v>
      </c>
      <c r="D170" t="s">
        <v>81</v>
      </c>
      <c r="E170" t="s">
        <v>81</v>
      </c>
      <c r="F170" s="1" t="b">
        <f t="shared" si="7"/>
        <v>1</v>
      </c>
    </row>
    <row r="171" spans="1:6" x14ac:dyDescent="0.3">
      <c r="A171" s="1">
        <v>170</v>
      </c>
      <c r="B171" t="s">
        <v>418</v>
      </c>
      <c r="C171" s="1" t="str" cm="1">
        <f t="array" ref="C171">_xlfn.IFS(LEN(B171) &lt;= 25, "Short", AND(LEN(B171) &gt; 25, LEN(B171) &lt;= 50), "Medium", LEN(B171) &gt; 50, "Long")</f>
        <v>Long</v>
      </c>
      <c r="D171" t="s">
        <v>79</v>
      </c>
      <c r="E171" t="s">
        <v>79</v>
      </c>
      <c r="F171" s="1" t="b">
        <f t="shared" si="7"/>
        <v>1</v>
      </c>
    </row>
    <row r="172" spans="1:6" x14ac:dyDescent="0.3">
      <c r="A172" s="1">
        <v>171</v>
      </c>
      <c r="B172" t="s">
        <v>419</v>
      </c>
      <c r="C172" s="1" t="str" cm="1">
        <f t="array" ref="C172">_xlfn.IFS(LEN(B172) &lt;= 25, "Short", AND(LEN(B172) &gt; 25, LEN(B172) &lt;= 50), "Medium", LEN(B172) &gt; 50, "Long")</f>
        <v>Medium</v>
      </c>
      <c r="D172" t="s">
        <v>81</v>
      </c>
      <c r="E172" t="s">
        <v>81</v>
      </c>
      <c r="F172" s="1" t="b">
        <f t="shared" si="7"/>
        <v>1</v>
      </c>
    </row>
    <row r="173" spans="1:6" x14ac:dyDescent="0.3">
      <c r="A173" s="1">
        <v>172</v>
      </c>
      <c r="B173" t="s">
        <v>420</v>
      </c>
      <c r="C173" s="1" t="str" cm="1">
        <f t="array" ref="C173">_xlfn.IFS(LEN(B173) &lt;= 25, "Short", AND(LEN(B173) &gt; 25, LEN(B173) &lt;= 50), "Medium", LEN(B173) &gt; 50, "Long")</f>
        <v>Long</v>
      </c>
      <c r="D173" t="s">
        <v>81</v>
      </c>
      <c r="E173" t="s">
        <v>242</v>
      </c>
      <c r="F173" s="1" t="b">
        <f t="shared" si="7"/>
        <v>0</v>
      </c>
    </row>
    <row r="174" spans="1:6" x14ac:dyDescent="0.3">
      <c r="A174" s="1">
        <v>173</v>
      </c>
      <c r="B174" t="s">
        <v>421</v>
      </c>
      <c r="C174" s="1" t="str" cm="1">
        <f t="array" ref="C174">_xlfn.IFS(LEN(B174) &lt;= 25, "Short", AND(LEN(B174) &gt; 25, LEN(B174) &lt;= 50), "Medium", LEN(B174) &gt; 50, "Long")</f>
        <v>Short</v>
      </c>
      <c r="D174" t="s">
        <v>79</v>
      </c>
      <c r="E174" t="s">
        <v>82</v>
      </c>
      <c r="F174" s="1" t="b">
        <f t="shared" si="7"/>
        <v>0</v>
      </c>
    </row>
    <row r="175" spans="1:6" x14ac:dyDescent="0.3">
      <c r="A175" s="1">
        <v>174</v>
      </c>
      <c r="B175" t="s">
        <v>422</v>
      </c>
      <c r="C175" s="1" t="str" cm="1">
        <f t="array" ref="C175">_xlfn.IFS(LEN(B175) &lt;= 25, "Short", AND(LEN(B175) &gt; 25, LEN(B175) &lt;= 50), "Medium", LEN(B175) &gt; 50, "Long")</f>
        <v>Long</v>
      </c>
      <c r="D175" t="s">
        <v>81</v>
      </c>
      <c r="E175" t="s">
        <v>77</v>
      </c>
      <c r="F175" s="1" t="b">
        <f t="shared" si="7"/>
        <v>0</v>
      </c>
    </row>
    <row r="176" spans="1:6" x14ac:dyDescent="0.3">
      <c r="A176" s="1">
        <v>175</v>
      </c>
      <c r="B176" t="s">
        <v>423</v>
      </c>
      <c r="C176" s="1" t="str" cm="1">
        <f t="array" ref="C176">_xlfn.IFS(LEN(B176) &lt;= 25, "Short", AND(LEN(B176) &gt; 25, LEN(B176) &lt;= 50), "Medium", LEN(B176) &gt; 50, "Long")</f>
        <v>Long</v>
      </c>
      <c r="D176" t="s">
        <v>79</v>
      </c>
      <c r="E176" t="s">
        <v>81</v>
      </c>
      <c r="F176" s="1" t="b">
        <f t="shared" si="7"/>
        <v>0</v>
      </c>
    </row>
    <row r="177" spans="1:6" x14ac:dyDescent="0.3">
      <c r="A177" s="1">
        <v>176</v>
      </c>
      <c r="B177" t="s">
        <v>424</v>
      </c>
      <c r="C177" s="1" t="str" cm="1">
        <f t="array" ref="C177">_xlfn.IFS(LEN(B177) &lt;= 25, "Short", AND(LEN(B177) &gt; 25, LEN(B177) &lt;= 50), "Medium", LEN(B177) &gt; 50, "Long")</f>
        <v>Long</v>
      </c>
      <c r="D177" t="s">
        <v>77</v>
      </c>
      <c r="E177" t="s">
        <v>242</v>
      </c>
      <c r="F177" s="1" t="b">
        <f t="shared" si="7"/>
        <v>0</v>
      </c>
    </row>
    <row r="178" spans="1:6" x14ac:dyDescent="0.3">
      <c r="A178" s="1">
        <v>177</v>
      </c>
      <c r="B178" t="s">
        <v>425</v>
      </c>
      <c r="C178" s="1" t="str" cm="1">
        <f t="array" ref="C178">_xlfn.IFS(LEN(B178) &lt;= 25, "Short", AND(LEN(B178) &gt; 25, LEN(B178) &lt;= 50), "Medium", LEN(B178) &gt; 50, "Long")</f>
        <v>Short</v>
      </c>
      <c r="D178" t="s">
        <v>81</v>
      </c>
      <c r="E178" t="s">
        <v>79</v>
      </c>
      <c r="F178" s="1" t="b">
        <f t="shared" si="7"/>
        <v>0</v>
      </c>
    </row>
    <row r="179" spans="1:6" x14ac:dyDescent="0.3">
      <c r="A179" s="1">
        <v>178</v>
      </c>
      <c r="B179" t="s">
        <v>426</v>
      </c>
      <c r="C179" s="1" t="str" cm="1">
        <f t="array" ref="C179">_xlfn.IFS(LEN(B179) &lt;= 25, "Short", AND(LEN(B179) &gt; 25, LEN(B179) &lt;= 50), "Medium", LEN(B179) &gt; 50, "Long")</f>
        <v>Long</v>
      </c>
      <c r="D179" t="s">
        <v>79</v>
      </c>
      <c r="E179" t="s">
        <v>79</v>
      </c>
      <c r="F179" s="1" t="b">
        <f t="shared" si="7"/>
        <v>1</v>
      </c>
    </row>
    <row r="180" spans="1:6" x14ac:dyDescent="0.3">
      <c r="A180" s="1">
        <v>179</v>
      </c>
      <c r="B180" t="s">
        <v>427</v>
      </c>
      <c r="C180" s="1" t="str" cm="1">
        <f t="array" ref="C180">_xlfn.IFS(LEN(B180) &lt;= 25, "Short", AND(LEN(B180) &gt; 25, LEN(B180) &lt;= 50), "Medium", LEN(B180) &gt; 50, "Long")</f>
        <v>Long</v>
      </c>
      <c r="D180" t="s">
        <v>82</v>
      </c>
      <c r="E180" t="s">
        <v>77</v>
      </c>
      <c r="F180" s="1" t="b">
        <f t="shared" si="7"/>
        <v>0</v>
      </c>
    </row>
    <row r="181" spans="1:6" x14ac:dyDescent="0.3">
      <c r="A181" s="1">
        <v>180</v>
      </c>
      <c r="B181" t="s">
        <v>428</v>
      </c>
      <c r="C181" s="1" t="str" cm="1">
        <f t="array" ref="C181">_xlfn.IFS(LEN(B181) &lt;= 25, "Short", AND(LEN(B181) &gt; 25, LEN(B181) &lt;= 50), "Medium", LEN(B181) &gt; 50, "Long")</f>
        <v>Long</v>
      </c>
      <c r="D181" t="s">
        <v>81</v>
      </c>
      <c r="E181" t="s">
        <v>81</v>
      </c>
      <c r="F181" s="1" t="b">
        <f t="shared" si="7"/>
        <v>1</v>
      </c>
    </row>
    <row r="182" spans="1:6" x14ac:dyDescent="0.3">
      <c r="A182" s="1">
        <v>181</v>
      </c>
      <c r="B182" t="s">
        <v>429</v>
      </c>
      <c r="C182" s="1" t="str" cm="1">
        <f t="array" ref="C182">_xlfn.IFS(LEN(B182) &lt;= 25, "Short", AND(LEN(B182) &gt; 25, LEN(B182) &lt;= 50), "Medium", LEN(B182) &gt; 50, "Long")</f>
        <v>Short</v>
      </c>
      <c r="D182" t="s">
        <v>81</v>
      </c>
      <c r="E182" t="s">
        <v>81</v>
      </c>
      <c r="F182" s="1" t="b">
        <f t="shared" si="7"/>
        <v>1</v>
      </c>
    </row>
    <row r="183" spans="1:6" x14ac:dyDescent="0.3">
      <c r="A183" s="1">
        <v>182</v>
      </c>
      <c r="B183" t="s">
        <v>430</v>
      </c>
      <c r="C183" s="1" t="str" cm="1">
        <f t="array" ref="C183">_xlfn.IFS(LEN(B183) &lt;= 25, "Short", AND(LEN(B183) &gt; 25, LEN(B183) &lt;= 50), "Medium", LEN(B183) &gt; 50, "Long")</f>
        <v>Short</v>
      </c>
      <c r="D183" t="s">
        <v>81</v>
      </c>
      <c r="E183" t="s">
        <v>81</v>
      </c>
      <c r="F183" s="1" t="b">
        <f t="shared" si="7"/>
        <v>1</v>
      </c>
    </row>
    <row r="184" spans="1:6" x14ac:dyDescent="0.3">
      <c r="A184" s="1">
        <v>183</v>
      </c>
      <c r="B184" t="s">
        <v>431</v>
      </c>
      <c r="C184" s="1" t="str" cm="1">
        <f t="array" ref="C184">_xlfn.IFS(LEN(B184) &lt;= 25, "Short", AND(LEN(B184) &gt; 25, LEN(B184) &lt;= 50), "Medium", LEN(B184) &gt; 50, "Long")</f>
        <v>Medium</v>
      </c>
      <c r="D184" t="s">
        <v>81</v>
      </c>
      <c r="E184" t="s">
        <v>79</v>
      </c>
      <c r="F184" s="1" t="b">
        <f t="shared" si="7"/>
        <v>0</v>
      </c>
    </row>
    <row r="185" spans="1:6" x14ac:dyDescent="0.3">
      <c r="A185" s="1">
        <v>184</v>
      </c>
      <c r="B185" t="s">
        <v>432</v>
      </c>
      <c r="C185" s="1" t="str" cm="1">
        <f t="array" ref="C185">_xlfn.IFS(LEN(B185) &lt;= 25, "Short", AND(LEN(B185) &gt; 25, LEN(B185) &lt;= 50), "Medium", LEN(B185) &gt; 50, "Long")</f>
        <v>Medium</v>
      </c>
      <c r="D185" t="s">
        <v>80</v>
      </c>
      <c r="E185" t="s">
        <v>80</v>
      </c>
      <c r="F185" s="1" t="b">
        <f t="shared" si="7"/>
        <v>1</v>
      </c>
    </row>
    <row r="186" spans="1:6" x14ac:dyDescent="0.3">
      <c r="A186" s="1">
        <v>185</v>
      </c>
      <c r="B186" t="s">
        <v>433</v>
      </c>
      <c r="C186" s="1" t="str" cm="1">
        <f t="array" ref="C186">_xlfn.IFS(LEN(B186) &lt;= 25, "Short", AND(LEN(B186) &gt; 25, LEN(B186) &lt;= 50), "Medium", LEN(B186) &gt; 50, "Long")</f>
        <v>Medium</v>
      </c>
      <c r="D186" t="s">
        <v>79</v>
      </c>
      <c r="E186" t="s">
        <v>79</v>
      </c>
      <c r="F186" s="1" t="b">
        <f t="shared" si="7"/>
        <v>1</v>
      </c>
    </row>
    <row r="187" spans="1:6" x14ac:dyDescent="0.3">
      <c r="A187" s="1">
        <v>186</v>
      </c>
      <c r="B187" t="s">
        <v>434</v>
      </c>
      <c r="C187" s="1" t="str" cm="1">
        <f t="array" ref="C187">_xlfn.IFS(LEN(B187) &lt;= 25, "Short", AND(LEN(B187) &gt; 25, LEN(B187) &lt;= 50), "Medium", LEN(B187) &gt; 50, "Long")</f>
        <v>Short</v>
      </c>
      <c r="D187" t="s">
        <v>242</v>
      </c>
      <c r="E187" t="s">
        <v>242</v>
      </c>
      <c r="F187" s="1" t="b">
        <f t="shared" si="7"/>
        <v>1</v>
      </c>
    </row>
    <row r="188" spans="1:6" x14ac:dyDescent="0.3">
      <c r="A188" s="1">
        <v>187</v>
      </c>
      <c r="B188" t="s">
        <v>435</v>
      </c>
      <c r="C188" s="1" t="str" cm="1">
        <f t="array" ref="C188">_xlfn.IFS(LEN(B188) &lt;= 25, "Short", AND(LEN(B188) &gt; 25, LEN(B188) &lt;= 50), "Medium", LEN(B188) &gt; 50, "Long")</f>
        <v>Long</v>
      </c>
      <c r="D188" t="s">
        <v>80</v>
      </c>
      <c r="E188" t="s">
        <v>80</v>
      </c>
      <c r="F188" s="1" t="b">
        <f t="shared" si="7"/>
        <v>1</v>
      </c>
    </row>
    <row r="189" spans="1:6" x14ac:dyDescent="0.3">
      <c r="A189" s="1">
        <v>188</v>
      </c>
      <c r="B189" t="s">
        <v>436</v>
      </c>
      <c r="C189" s="1" t="str" cm="1">
        <f t="array" ref="C189">_xlfn.IFS(LEN(B189) &lt;= 25, "Short", AND(LEN(B189) &gt; 25, LEN(B189) &lt;= 50), "Medium", LEN(B189) &gt; 50, "Long")</f>
        <v>Short</v>
      </c>
      <c r="D189" t="s">
        <v>77</v>
      </c>
      <c r="E189" t="s">
        <v>242</v>
      </c>
      <c r="F189" s="1" t="b">
        <f t="shared" si="7"/>
        <v>0</v>
      </c>
    </row>
    <row r="190" spans="1:6" x14ac:dyDescent="0.3">
      <c r="A190" s="1">
        <v>189</v>
      </c>
      <c r="B190" t="s">
        <v>437</v>
      </c>
      <c r="C190" s="1" t="str" cm="1">
        <f t="array" ref="C190">_xlfn.IFS(LEN(B190) &lt;= 25, "Short", AND(LEN(B190) &gt; 25, LEN(B190) &lt;= 50), "Medium", LEN(B190) &gt; 50, "Long")</f>
        <v>Short</v>
      </c>
      <c r="D190" t="s">
        <v>76</v>
      </c>
      <c r="E190" t="s">
        <v>76</v>
      </c>
      <c r="F190" s="1" t="b">
        <f t="shared" si="7"/>
        <v>1</v>
      </c>
    </row>
    <row r="191" spans="1:6" x14ac:dyDescent="0.3">
      <c r="A191" s="1">
        <v>190</v>
      </c>
      <c r="B191" t="s">
        <v>438</v>
      </c>
      <c r="C191" s="1" t="str" cm="1">
        <f t="array" ref="C191">_xlfn.IFS(LEN(B191) &lt;= 25, "Short", AND(LEN(B191) &gt; 25, LEN(B191) &lt;= 50), "Medium", LEN(B191) &gt; 50, "Long")</f>
        <v>Long</v>
      </c>
      <c r="D191" t="s">
        <v>76</v>
      </c>
      <c r="E191" t="s">
        <v>76</v>
      </c>
      <c r="F191" s="1" t="b">
        <f t="shared" si="7"/>
        <v>1</v>
      </c>
    </row>
    <row r="192" spans="1:6" x14ac:dyDescent="0.3">
      <c r="A192" s="1">
        <v>191</v>
      </c>
      <c r="B192" t="s">
        <v>439</v>
      </c>
      <c r="C192" s="1" t="str" cm="1">
        <f t="array" ref="C192">_xlfn.IFS(LEN(B192) &lt;= 25, "Short", AND(LEN(B192) &gt; 25, LEN(B192) &lt;= 50), "Medium", LEN(B192) &gt; 50, "Long")</f>
        <v>Medium</v>
      </c>
      <c r="D192" t="s">
        <v>77</v>
      </c>
      <c r="E192" t="s">
        <v>80</v>
      </c>
      <c r="F192" s="1" t="b">
        <f t="shared" si="7"/>
        <v>0</v>
      </c>
    </row>
    <row r="193" spans="1:6" x14ac:dyDescent="0.3">
      <c r="A193" s="1">
        <v>192</v>
      </c>
      <c r="B193" t="s">
        <v>440</v>
      </c>
      <c r="C193" s="1" t="str" cm="1">
        <f t="array" ref="C193">_xlfn.IFS(LEN(B193) &lt;= 25, "Short", AND(LEN(B193) &gt; 25, LEN(B193) &lt;= 50), "Medium", LEN(B193) &gt; 50, "Long")</f>
        <v>Long</v>
      </c>
      <c r="D193" t="s">
        <v>77</v>
      </c>
      <c r="E193" t="s">
        <v>77</v>
      </c>
      <c r="F193" s="1" t="b">
        <f t="shared" si="7"/>
        <v>1</v>
      </c>
    </row>
    <row r="194" spans="1:6" x14ac:dyDescent="0.3">
      <c r="A194" s="1">
        <v>193</v>
      </c>
      <c r="B194" t="s">
        <v>441</v>
      </c>
      <c r="C194" s="1" t="str" cm="1">
        <f t="array" ref="C194">_xlfn.IFS(LEN(B194) &lt;= 25, "Short", AND(LEN(B194) &gt; 25, LEN(B194) &lt;= 50), "Medium", LEN(B194) &gt; 50, "Long")</f>
        <v>Long</v>
      </c>
      <c r="D194" t="s">
        <v>81</v>
      </c>
      <c r="E194" t="s">
        <v>81</v>
      </c>
      <c r="F194" s="1" t="b">
        <f t="shared" si="7"/>
        <v>1</v>
      </c>
    </row>
    <row r="195" spans="1:6" x14ac:dyDescent="0.3">
      <c r="A195" s="1">
        <v>194</v>
      </c>
      <c r="B195" t="s">
        <v>442</v>
      </c>
      <c r="C195" s="1" t="str" cm="1">
        <f t="array" ref="C195">_xlfn.IFS(LEN(B195) &lt;= 25, "Short", AND(LEN(B195) &gt; 25, LEN(B195) &lt;= 50), "Medium", LEN(B195) &gt; 50, "Long")</f>
        <v>Long</v>
      </c>
      <c r="D195" t="s">
        <v>81</v>
      </c>
      <c r="E195" t="s">
        <v>81</v>
      </c>
      <c r="F195" s="1" t="b">
        <f t="shared" ref="F195:F200" si="8">IF(D195=E195, TRUE, FALSE)</f>
        <v>1</v>
      </c>
    </row>
    <row r="196" spans="1:6" x14ac:dyDescent="0.3">
      <c r="A196" s="1">
        <v>195</v>
      </c>
      <c r="B196" t="s">
        <v>443</v>
      </c>
      <c r="C196" s="1" t="str" cm="1">
        <f t="array" ref="C196">_xlfn.IFS(LEN(B196) &lt;= 25, "Short", AND(LEN(B196) &gt; 25, LEN(B196) &lt;= 50), "Medium", LEN(B196) &gt; 50, "Long")</f>
        <v>Long</v>
      </c>
      <c r="D196" t="s">
        <v>79</v>
      </c>
      <c r="E196" t="s">
        <v>82</v>
      </c>
      <c r="F196" s="1" t="b">
        <f t="shared" si="8"/>
        <v>0</v>
      </c>
    </row>
    <row r="197" spans="1:6" x14ac:dyDescent="0.3">
      <c r="A197" s="1">
        <v>196</v>
      </c>
      <c r="B197" t="s">
        <v>444</v>
      </c>
      <c r="C197" s="1" t="str" cm="1">
        <f t="array" ref="C197">_xlfn.IFS(LEN(B197) &lt;= 25, "Short", AND(LEN(B197) &gt; 25, LEN(B197) &lt;= 50), "Medium", LEN(B197) &gt; 50, "Long")</f>
        <v>Long</v>
      </c>
      <c r="D197" t="s">
        <v>81</v>
      </c>
      <c r="E197" t="s">
        <v>81</v>
      </c>
      <c r="F197" s="1" t="b">
        <f t="shared" si="8"/>
        <v>1</v>
      </c>
    </row>
    <row r="198" spans="1:6" x14ac:dyDescent="0.3">
      <c r="A198" s="1">
        <v>197</v>
      </c>
      <c r="B198" t="s">
        <v>445</v>
      </c>
      <c r="C198" s="1" t="str" cm="1">
        <f t="array" ref="C198">_xlfn.IFS(LEN(B198) &lt;= 25, "Short", AND(LEN(B198) &gt; 25, LEN(B198) &lt;= 50), "Medium", LEN(B198) &gt; 50, "Long")</f>
        <v>Medium</v>
      </c>
      <c r="D198" t="s">
        <v>76</v>
      </c>
      <c r="E198" t="s">
        <v>77</v>
      </c>
      <c r="F198" s="1" t="b">
        <f t="shared" si="8"/>
        <v>0</v>
      </c>
    </row>
    <row r="199" spans="1:6" x14ac:dyDescent="0.3">
      <c r="A199" s="1">
        <v>198</v>
      </c>
      <c r="B199" t="s">
        <v>446</v>
      </c>
      <c r="C199" s="1" t="str" cm="1">
        <f t="array" ref="C199">_xlfn.IFS(LEN(B199) &lt;= 25, "Short", AND(LEN(B199) &gt; 25, LEN(B199) &lt;= 50), "Medium", LEN(B199) &gt; 50, "Long")</f>
        <v>Medium</v>
      </c>
      <c r="D199" t="s">
        <v>81</v>
      </c>
      <c r="E199" t="s">
        <v>81</v>
      </c>
      <c r="F199" s="1" t="b">
        <f t="shared" si="8"/>
        <v>1</v>
      </c>
    </row>
    <row r="200" spans="1:6" x14ac:dyDescent="0.3">
      <c r="A200" s="1">
        <v>199</v>
      </c>
      <c r="B200" t="s">
        <v>447</v>
      </c>
      <c r="C200" s="1" t="str" cm="1">
        <f t="array" ref="C200">_xlfn.IFS(LEN(B200) &lt;= 25, "Short", AND(LEN(B200) &gt; 25, LEN(B200) &lt;= 50), "Medium", LEN(B200) &gt; 50, "Long")</f>
        <v>Long</v>
      </c>
      <c r="D200" t="s">
        <v>80</v>
      </c>
      <c r="E200" t="s">
        <v>80</v>
      </c>
      <c r="F200" s="1" t="b">
        <f t="shared" si="8"/>
        <v>1</v>
      </c>
    </row>
    <row r="201" spans="1:6" x14ac:dyDescent="0.3">
      <c r="A201" s="1">
        <v>200</v>
      </c>
      <c r="B201" t="s">
        <v>448</v>
      </c>
      <c r="C201" s="1" t="str" cm="1">
        <f t="array" ref="C201">_xlfn.IFS(LEN(B201) &lt;= 25, "Short", AND(LEN(B201) &gt; 25, LEN(B201) &lt;= 50), "Medium", LEN(B201) &gt; 50, "Long")</f>
        <v>Long</v>
      </c>
      <c r="D201" t="s">
        <v>79</v>
      </c>
      <c r="E201" t="s">
        <v>79</v>
      </c>
      <c r="F201" s="1" t="b">
        <f t="shared" ref="F201:F232" si="9">IF(D201=E201, TRUE, FALSE)</f>
        <v>1</v>
      </c>
    </row>
    <row r="202" spans="1:6" x14ac:dyDescent="0.3">
      <c r="A202" s="1">
        <v>201</v>
      </c>
      <c r="B202" t="s">
        <v>449</v>
      </c>
      <c r="C202" s="1" t="str" cm="1">
        <f t="array" ref="C202">_xlfn.IFS(LEN(B202) &lt;= 25, "Short", AND(LEN(B202) &gt; 25, LEN(B202) &lt;= 50), "Medium", LEN(B202) &gt; 50, "Long")</f>
        <v>Long</v>
      </c>
      <c r="D202" t="s">
        <v>77</v>
      </c>
      <c r="E202" t="s">
        <v>77</v>
      </c>
      <c r="F202" s="1" t="b">
        <f t="shared" si="9"/>
        <v>1</v>
      </c>
    </row>
    <row r="203" spans="1:6" x14ac:dyDescent="0.3">
      <c r="A203" s="1">
        <v>202</v>
      </c>
      <c r="B203" t="s">
        <v>450</v>
      </c>
      <c r="C203" s="1" t="str" cm="1">
        <f t="array" ref="C203">_xlfn.IFS(LEN(B203) &lt;= 25, "Short", AND(LEN(B203) &gt; 25, LEN(B203) &lt;= 50), "Medium", LEN(B203) &gt; 50, "Long")</f>
        <v>Long</v>
      </c>
      <c r="D203" t="s">
        <v>76</v>
      </c>
      <c r="E203" t="s">
        <v>77</v>
      </c>
      <c r="F203" s="1" t="b">
        <f t="shared" si="9"/>
        <v>0</v>
      </c>
    </row>
    <row r="204" spans="1:6" x14ac:dyDescent="0.3">
      <c r="A204" s="1">
        <v>203</v>
      </c>
      <c r="B204" t="s">
        <v>451</v>
      </c>
      <c r="C204" s="1" t="str" cm="1">
        <f t="array" ref="C204">_xlfn.IFS(LEN(B204) &lt;= 25, "Short", AND(LEN(B204) &gt; 25, LEN(B204) &lt;= 50), "Medium", LEN(B204) &gt; 50, "Long")</f>
        <v>Long</v>
      </c>
      <c r="D204" t="s">
        <v>81</v>
      </c>
      <c r="E204" t="s">
        <v>81</v>
      </c>
      <c r="F204" s="1" t="b">
        <f t="shared" si="9"/>
        <v>1</v>
      </c>
    </row>
    <row r="205" spans="1:6" x14ac:dyDescent="0.3">
      <c r="A205" s="1">
        <v>204</v>
      </c>
      <c r="B205" t="s">
        <v>452</v>
      </c>
      <c r="C205" s="1" t="str" cm="1">
        <f t="array" ref="C205">_xlfn.IFS(LEN(B205) &lt;= 25, "Short", AND(LEN(B205) &gt; 25, LEN(B205) &lt;= 50), "Medium", LEN(B205) &gt; 50, "Long")</f>
        <v>Short</v>
      </c>
      <c r="D205" t="s">
        <v>76</v>
      </c>
      <c r="E205" t="s">
        <v>242</v>
      </c>
      <c r="F205" s="1" t="b">
        <f t="shared" si="9"/>
        <v>0</v>
      </c>
    </row>
    <row r="206" spans="1:6" x14ac:dyDescent="0.3">
      <c r="A206" s="1">
        <v>205</v>
      </c>
      <c r="B206" t="s">
        <v>453</v>
      </c>
      <c r="C206" s="1" t="str" cm="1">
        <f t="array" ref="C206">_xlfn.IFS(LEN(B206) &lt;= 25, "Short", AND(LEN(B206) &gt; 25, LEN(B206) &lt;= 50), "Medium", LEN(B206) &gt; 50, "Long")</f>
        <v>Long</v>
      </c>
      <c r="D206" t="s">
        <v>79</v>
      </c>
      <c r="E206" t="s">
        <v>79</v>
      </c>
      <c r="F206" s="1" t="b">
        <f t="shared" si="9"/>
        <v>1</v>
      </c>
    </row>
    <row r="207" spans="1:6" x14ac:dyDescent="0.3">
      <c r="A207" s="1">
        <v>206</v>
      </c>
      <c r="B207" t="s">
        <v>454</v>
      </c>
      <c r="C207" s="1" t="str" cm="1">
        <f t="array" ref="C207">_xlfn.IFS(LEN(B207) &lt;= 25, "Short", AND(LEN(B207) &gt; 25, LEN(B207) &lt;= 50), "Medium", LEN(B207) &gt; 50, "Long")</f>
        <v>Long</v>
      </c>
      <c r="D207" t="s">
        <v>81</v>
      </c>
      <c r="E207" t="s">
        <v>81</v>
      </c>
      <c r="F207" s="1" t="b">
        <f t="shared" si="9"/>
        <v>1</v>
      </c>
    </row>
    <row r="208" spans="1:6" x14ac:dyDescent="0.3">
      <c r="A208" s="1">
        <v>207</v>
      </c>
      <c r="B208" t="s">
        <v>455</v>
      </c>
      <c r="C208" s="1" t="str" cm="1">
        <f t="array" ref="C208">_xlfn.IFS(LEN(B208) &lt;= 25, "Short", AND(LEN(B208) &gt; 25, LEN(B208) &lt;= 50), "Medium", LEN(B208) &gt; 50, "Long")</f>
        <v>Long</v>
      </c>
      <c r="D208" t="s">
        <v>81</v>
      </c>
      <c r="E208" t="s">
        <v>81</v>
      </c>
      <c r="F208" s="1" t="b">
        <f t="shared" si="9"/>
        <v>1</v>
      </c>
    </row>
    <row r="209" spans="1:6" x14ac:dyDescent="0.3">
      <c r="A209" s="1">
        <v>208</v>
      </c>
      <c r="B209" t="s">
        <v>456</v>
      </c>
      <c r="C209" s="1" t="str" cm="1">
        <f t="array" ref="C209">_xlfn.IFS(LEN(B209) &lt;= 25, "Short", AND(LEN(B209) &gt; 25, LEN(B209) &lt;= 50), "Medium", LEN(B209) &gt; 50, "Long")</f>
        <v>Medium</v>
      </c>
      <c r="D209" t="s">
        <v>76</v>
      </c>
      <c r="E209" t="s">
        <v>82</v>
      </c>
      <c r="F209" s="1" t="b">
        <f t="shared" si="9"/>
        <v>0</v>
      </c>
    </row>
    <row r="210" spans="1:6" x14ac:dyDescent="0.3">
      <c r="A210" s="1">
        <v>209</v>
      </c>
      <c r="B210" t="s">
        <v>457</v>
      </c>
      <c r="C210" s="1" t="str" cm="1">
        <f t="array" ref="C210">_xlfn.IFS(LEN(B210) &lt;= 25, "Short", AND(LEN(B210) &gt; 25, LEN(B210) &lt;= 50), "Medium", LEN(B210) &gt; 50, "Long")</f>
        <v>Long</v>
      </c>
      <c r="D210" t="s">
        <v>81</v>
      </c>
      <c r="E210" t="s">
        <v>81</v>
      </c>
      <c r="F210" s="1" t="b">
        <f t="shared" si="9"/>
        <v>1</v>
      </c>
    </row>
    <row r="211" spans="1:6" x14ac:dyDescent="0.3">
      <c r="A211" s="1">
        <v>210</v>
      </c>
      <c r="B211" t="s">
        <v>458</v>
      </c>
      <c r="C211" s="1" t="str" cm="1">
        <f t="array" ref="C211">_xlfn.IFS(LEN(B211) &lt;= 25, "Short", AND(LEN(B211) &gt; 25, LEN(B211) &lt;= 50), "Medium", LEN(B211) &gt; 50, "Long")</f>
        <v>Long</v>
      </c>
      <c r="D211" t="s">
        <v>80</v>
      </c>
      <c r="E211" t="s">
        <v>80</v>
      </c>
      <c r="F211" s="1" t="b">
        <f t="shared" si="9"/>
        <v>1</v>
      </c>
    </row>
    <row r="212" spans="1:6" x14ac:dyDescent="0.3">
      <c r="A212" s="1">
        <v>211</v>
      </c>
      <c r="B212" t="s">
        <v>459</v>
      </c>
      <c r="C212" s="1" t="str" cm="1">
        <f t="array" ref="C212">_xlfn.IFS(LEN(B212) &lt;= 25, "Short", AND(LEN(B212) &gt; 25, LEN(B212) &lt;= 50), "Medium", LEN(B212) &gt; 50, "Long")</f>
        <v>Long</v>
      </c>
      <c r="D212" t="s">
        <v>76</v>
      </c>
      <c r="E212" t="s">
        <v>76</v>
      </c>
      <c r="F212" s="1" t="b">
        <f t="shared" si="9"/>
        <v>1</v>
      </c>
    </row>
    <row r="213" spans="1:6" x14ac:dyDescent="0.3">
      <c r="A213" s="1">
        <v>212</v>
      </c>
      <c r="B213" t="s">
        <v>460</v>
      </c>
      <c r="C213" s="1" t="str" cm="1">
        <f t="array" ref="C213">_xlfn.IFS(LEN(B213) &lt;= 25, "Short", AND(LEN(B213) &gt; 25, LEN(B213) &lt;= 50), "Medium", LEN(B213) &gt; 50, "Long")</f>
        <v>Medium</v>
      </c>
      <c r="D213" t="s">
        <v>80</v>
      </c>
      <c r="E213" t="s">
        <v>80</v>
      </c>
      <c r="F213" s="1" t="b">
        <f t="shared" si="9"/>
        <v>1</v>
      </c>
    </row>
    <row r="214" spans="1:6" x14ac:dyDescent="0.3">
      <c r="A214" s="1">
        <v>213</v>
      </c>
      <c r="B214" t="s">
        <v>461</v>
      </c>
      <c r="C214" s="1" t="str" cm="1">
        <f t="array" ref="C214">_xlfn.IFS(LEN(B214) &lt;= 25, "Short", AND(LEN(B214) &gt; 25, LEN(B214) &lt;= 50), "Medium", LEN(B214) &gt; 50, "Long")</f>
        <v>Short</v>
      </c>
      <c r="D214" t="s">
        <v>79</v>
      </c>
      <c r="E214" t="s">
        <v>81</v>
      </c>
      <c r="F214" s="1" t="b">
        <f t="shared" si="9"/>
        <v>0</v>
      </c>
    </row>
    <row r="215" spans="1:6" x14ac:dyDescent="0.3">
      <c r="A215" s="1">
        <v>214</v>
      </c>
      <c r="B215" t="s">
        <v>462</v>
      </c>
      <c r="C215" s="1" t="str" cm="1">
        <f t="array" ref="C215">_xlfn.IFS(LEN(B215) &lt;= 25, "Short", AND(LEN(B215) &gt; 25, LEN(B215) &lt;= 50), "Medium", LEN(B215) &gt; 50, "Long")</f>
        <v>Short</v>
      </c>
      <c r="D215" t="s">
        <v>76</v>
      </c>
      <c r="E215" t="s">
        <v>80</v>
      </c>
      <c r="F215" s="1" t="b">
        <f t="shared" si="9"/>
        <v>0</v>
      </c>
    </row>
    <row r="216" spans="1:6" x14ac:dyDescent="0.3">
      <c r="A216" s="1">
        <v>215</v>
      </c>
      <c r="B216" t="s">
        <v>463</v>
      </c>
      <c r="C216" s="1" t="str">
        <f>_xlfn.IFS(LEN(B216) &lt;= 25, "Short", AND(LEN(B216) &gt; 25, LEN(B216) &lt;= 50), "Medium", LEN(B216) &gt; 50, "Long")</f>
        <v>Long</v>
      </c>
      <c r="D216" t="s">
        <v>79</v>
      </c>
      <c r="E216" t="s">
        <v>82</v>
      </c>
      <c r="F216" s="1" t="b">
        <f t="shared" si="9"/>
        <v>0</v>
      </c>
    </row>
    <row r="217" spans="1:6" x14ac:dyDescent="0.3">
      <c r="A217" s="1">
        <v>216</v>
      </c>
      <c r="B217" t="s">
        <v>464</v>
      </c>
      <c r="C217" s="1" t="str" cm="1">
        <f t="array" ref="C217">_xlfn.IFS(LEN(B217) &lt;= 25, "Short", AND(LEN(B217) &gt; 25, LEN(B217) &lt;= 50), "Medium", LEN(B217) &gt; 50, "Long")</f>
        <v>Short</v>
      </c>
      <c r="D217" t="s">
        <v>79</v>
      </c>
      <c r="E217" t="s">
        <v>79</v>
      </c>
      <c r="F217" s="1" t="b">
        <f t="shared" si="9"/>
        <v>1</v>
      </c>
    </row>
    <row r="218" spans="1:6" x14ac:dyDescent="0.3">
      <c r="A218" s="1">
        <v>217</v>
      </c>
      <c r="B218" t="s">
        <v>465</v>
      </c>
      <c r="C218" s="1" t="str" cm="1">
        <f t="array" ref="C218">_xlfn.IFS(LEN(B218) &lt;= 25, "Short", AND(LEN(B218) &gt; 25, LEN(B218) &lt;= 50), "Medium", LEN(B218) &gt; 50, "Long")</f>
        <v>Medium</v>
      </c>
      <c r="D218" t="s">
        <v>79</v>
      </c>
      <c r="E218" t="s">
        <v>79</v>
      </c>
      <c r="F218" s="1" t="b">
        <f t="shared" si="9"/>
        <v>1</v>
      </c>
    </row>
    <row r="219" spans="1:6" x14ac:dyDescent="0.3">
      <c r="A219" s="1">
        <v>218</v>
      </c>
      <c r="B219" t="s">
        <v>466</v>
      </c>
      <c r="C219" s="1" t="str" cm="1">
        <f t="array" ref="C219">_xlfn.IFS(LEN(B219) &lt;= 25, "Short", AND(LEN(B219) &gt; 25, LEN(B219) &lt;= 50), "Medium", LEN(B219) &gt; 50, "Long")</f>
        <v>Medium</v>
      </c>
      <c r="D219" t="s">
        <v>82</v>
      </c>
      <c r="E219" t="s">
        <v>80</v>
      </c>
      <c r="F219" s="1" t="b">
        <f t="shared" si="9"/>
        <v>0</v>
      </c>
    </row>
    <row r="220" spans="1:6" x14ac:dyDescent="0.3">
      <c r="A220" s="1">
        <v>219</v>
      </c>
      <c r="B220" t="s">
        <v>467</v>
      </c>
      <c r="C220" s="1" t="str" cm="1">
        <f t="array" ref="C220">_xlfn.IFS(LEN(B220) &lt;= 25, "Short", AND(LEN(B220) &gt; 25, LEN(B220) &lt;= 50), "Medium", LEN(B220) &gt; 50, "Long")</f>
        <v>Long</v>
      </c>
      <c r="D220" t="s">
        <v>76</v>
      </c>
      <c r="E220" t="s">
        <v>77</v>
      </c>
      <c r="F220" s="1" t="b">
        <f t="shared" si="9"/>
        <v>0</v>
      </c>
    </row>
    <row r="221" spans="1:6" x14ac:dyDescent="0.3">
      <c r="A221" s="1">
        <v>220</v>
      </c>
      <c r="B221" t="s">
        <v>468</v>
      </c>
      <c r="C221" s="1" t="str" cm="1">
        <f t="array" ref="C221">_xlfn.IFS(LEN(B221) &lt;= 25, "Short", AND(LEN(B221) &gt; 25, LEN(B221) &lt;= 50), "Medium", LEN(B221) &gt; 50, "Long")</f>
        <v>Short</v>
      </c>
      <c r="D221" t="s">
        <v>76</v>
      </c>
      <c r="E221" t="s">
        <v>76</v>
      </c>
      <c r="F221" s="1" t="b">
        <f t="shared" si="9"/>
        <v>1</v>
      </c>
    </row>
    <row r="222" spans="1:6" x14ac:dyDescent="0.3">
      <c r="A222" s="1">
        <v>221</v>
      </c>
      <c r="B222" t="s">
        <v>469</v>
      </c>
      <c r="C222" s="1" t="str" cm="1">
        <f t="array" ref="C222">_xlfn.IFS(LEN(B222) &lt;= 25, "Short", AND(LEN(B222) &gt; 25, LEN(B222) &lt;= 50), "Medium", LEN(B222) &gt; 50, "Long")</f>
        <v>Long</v>
      </c>
      <c r="D222" t="s">
        <v>81</v>
      </c>
      <c r="E222" t="s">
        <v>81</v>
      </c>
      <c r="F222" s="1" t="b">
        <f t="shared" si="9"/>
        <v>1</v>
      </c>
    </row>
    <row r="223" spans="1:6" x14ac:dyDescent="0.3">
      <c r="A223" s="1">
        <v>222</v>
      </c>
      <c r="B223" t="s">
        <v>470</v>
      </c>
      <c r="C223" s="1" t="str" cm="1">
        <f t="array" ref="C223">_xlfn.IFS(LEN(B223) &lt;= 25, "Short", AND(LEN(B223) &gt; 25, LEN(B223) &lt;= 50), "Medium", LEN(B223) &gt; 50, "Long")</f>
        <v>Short</v>
      </c>
      <c r="D223" t="s">
        <v>79</v>
      </c>
      <c r="E223" t="s">
        <v>80</v>
      </c>
      <c r="F223" s="1" t="b">
        <f t="shared" si="9"/>
        <v>0</v>
      </c>
    </row>
    <row r="224" spans="1:6" x14ac:dyDescent="0.3">
      <c r="A224" s="1">
        <v>223</v>
      </c>
      <c r="B224" t="s">
        <v>471</v>
      </c>
      <c r="C224" s="1" t="str" cm="1">
        <f t="array" ref="C224">_xlfn.IFS(LEN(B224) &lt;= 25, "Short", AND(LEN(B224) &gt; 25, LEN(B224) &lt;= 50), "Medium", LEN(B224) &gt; 50, "Long")</f>
        <v>Long</v>
      </c>
      <c r="D224" t="s">
        <v>80</v>
      </c>
      <c r="E224" t="s">
        <v>80</v>
      </c>
      <c r="F224" s="1" t="b">
        <f t="shared" si="9"/>
        <v>1</v>
      </c>
    </row>
    <row r="225" spans="1:6" x14ac:dyDescent="0.3">
      <c r="A225" s="1">
        <v>224</v>
      </c>
      <c r="B225" t="s">
        <v>472</v>
      </c>
      <c r="C225" s="1" t="str" cm="1">
        <f t="array" ref="C225">_xlfn.IFS(LEN(B225) &lt;= 25, "Short", AND(LEN(B225) &gt; 25, LEN(B225) &lt;= 50), "Medium", LEN(B225) &gt; 50, "Long")</f>
        <v>Medium</v>
      </c>
      <c r="D225" t="s">
        <v>242</v>
      </c>
      <c r="E225" t="s">
        <v>242</v>
      </c>
      <c r="F225" s="1" t="b">
        <f t="shared" si="9"/>
        <v>1</v>
      </c>
    </row>
    <row r="226" spans="1:6" x14ac:dyDescent="0.3">
      <c r="A226" s="1">
        <v>225</v>
      </c>
      <c r="B226" t="s">
        <v>473</v>
      </c>
      <c r="C226" s="1" t="str" cm="1">
        <f t="array" ref="C226">_xlfn.IFS(LEN(B226) &lt;= 25, "Short", AND(LEN(B226) &gt; 25, LEN(B226) &lt;= 50), "Medium", LEN(B226) &gt; 50, "Long")</f>
        <v>Medium</v>
      </c>
      <c r="D226" t="s">
        <v>81</v>
      </c>
      <c r="E226" t="s">
        <v>81</v>
      </c>
      <c r="F226" s="1" t="b">
        <f t="shared" si="9"/>
        <v>1</v>
      </c>
    </row>
    <row r="227" spans="1:6" x14ac:dyDescent="0.3">
      <c r="A227" s="1">
        <v>226</v>
      </c>
      <c r="B227" t="s">
        <v>474</v>
      </c>
      <c r="C227" s="1" t="str" cm="1">
        <f t="array" ref="C227">_xlfn.IFS(LEN(B227) &lt;= 25, "Short", AND(LEN(B227) &gt; 25, LEN(B227) &lt;= 50), "Medium", LEN(B227) &gt; 50, "Long")</f>
        <v>Medium</v>
      </c>
      <c r="D227" t="s">
        <v>81</v>
      </c>
      <c r="E227" t="s">
        <v>81</v>
      </c>
      <c r="F227" s="1" t="b">
        <f t="shared" si="9"/>
        <v>1</v>
      </c>
    </row>
    <row r="228" spans="1:6" x14ac:dyDescent="0.3">
      <c r="A228" s="1">
        <v>227</v>
      </c>
      <c r="B228" t="s">
        <v>475</v>
      </c>
      <c r="C228" s="1" t="str" cm="1">
        <f t="array" ref="C228">_xlfn.IFS(LEN(B228) &lt;= 25, "Short", AND(LEN(B228) &gt; 25, LEN(B228) &lt;= 50), "Medium", LEN(B228) &gt; 50, "Long")</f>
        <v>Short</v>
      </c>
      <c r="D228" t="s">
        <v>80</v>
      </c>
      <c r="E228" t="s">
        <v>80</v>
      </c>
      <c r="F228" s="1" t="b">
        <f t="shared" si="9"/>
        <v>1</v>
      </c>
    </row>
    <row r="229" spans="1:6" x14ac:dyDescent="0.3">
      <c r="A229" s="1">
        <v>228</v>
      </c>
      <c r="B229" t="s">
        <v>476</v>
      </c>
      <c r="C229" s="1" t="str" cm="1">
        <f t="array" ref="C229">_xlfn.IFS(LEN(B229) &lt;= 25, "Short", AND(LEN(B229) &gt; 25, LEN(B229) &lt;= 50), "Medium", LEN(B229) &gt; 50, "Long")</f>
        <v>Short</v>
      </c>
      <c r="D229" t="s">
        <v>80</v>
      </c>
      <c r="E229" t="s">
        <v>80</v>
      </c>
      <c r="F229" s="1" t="b">
        <f t="shared" si="9"/>
        <v>1</v>
      </c>
    </row>
    <row r="230" spans="1:6" x14ac:dyDescent="0.3">
      <c r="A230" s="1">
        <v>229</v>
      </c>
      <c r="B230" t="s">
        <v>477</v>
      </c>
      <c r="C230" s="1" t="str" cm="1">
        <f t="array" ref="C230">_xlfn.IFS(LEN(B230) &lt;= 25, "Short", AND(LEN(B230) &gt; 25, LEN(B230) &lt;= 50), "Medium", LEN(B230) &gt; 50, "Long")</f>
        <v>Medium</v>
      </c>
      <c r="D230" t="s">
        <v>80</v>
      </c>
      <c r="E230" t="s">
        <v>79</v>
      </c>
      <c r="F230" s="1" t="b">
        <f t="shared" si="9"/>
        <v>0</v>
      </c>
    </row>
    <row r="231" spans="1:6" x14ac:dyDescent="0.3">
      <c r="A231" s="1">
        <v>230</v>
      </c>
      <c r="B231" t="s">
        <v>478</v>
      </c>
      <c r="C231" s="1" t="str" cm="1">
        <f t="array" ref="C231">_xlfn.IFS(LEN(B231) &lt;= 25, "Short", AND(LEN(B231) &gt; 25, LEN(B231) &lt;= 50), "Medium", LEN(B231) &gt; 50, "Long")</f>
        <v>Long</v>
      </c>
      <c r="D231" t="s">
        <v>76</v>
      </c>
      <c r="E231" t="s">
        <v>76</v>
      </c>
      <c r="F231" s="1" t="b">
        <f t="shared" si="9"/>
        <v>1</v>
      </c>
    </row>
    <row r="232" spans="1:6" x14ac:dyDescent="0.3">
      <c r="A232" s="1">
        <v>231</v>
      </c>
      <c r="B232" t="s">
        <v>479</v>
      </c>
      <c r="C232" s="1" t="str" cm="1">
        <f t="array" ref="C232">_xlfn.IFS(LEN(B232) &lt;= 25, "Short", AND(LEN(B232) &gt; 25, LEN(B232) &lt;= 50), "Medium", LEN(B232) &gt; 50, "Long")</f>
        <v>Long</v>
      </c>
      <c r="D232" t="s">
        <v>77</v>
      </c>
      <c r="E232" t="s">
        <v>77</v>
      </c>
      <c r="F232" s="1" t="b">
        <f t="shared" si="9"/>
        <v>1</v>
      </c>
    </row>
    <row r="233" spans="1:6" x14ac:dyDescent="0.3">
      <c r="A233" s="1">
        <v>232</v>
      </c>
      <c r="B233" t="s">
        <v>480</v>
      </c>
      <c r="C233" s="1" t="str" cm="1">
        <f t="array" ref="C233">_xlfn.IFS(LEN(B233) &lt;= 25, "Short", AND(LEN(B233) &gt; 25, LEN(B233) &lt;= 50), "Medium", LEN(B233) &gt; 50, "Long")</f>
        <v>Short</v>
      </c>
      <c r="D233" t="s">
        <v>76</v>
      </c>
      <c r="E233" t="s">
        <v>80</v>
      </c>
      <c r="F233" s="1" t="b">
        <f t="shared" ref="F233:F264" si="10">IF(D233=E233, TRUE, FALSE)</f>
        <v>0</v>
      </c>
    </row>
    <row r="234" spans="1:6" x14ac:dyDescent="0.3">
      <c r="A234" s="1">
        <v>233</v>
      </c>
      <c r="B234" t="s">
        <v>481</v>
      </c>
      <c r="C234" s="1" t="str" cm="1">
        <f t="array" ref="C234">_xlfn.IFS(LEN(B234) &lt;= 25, "Short", AND(LEN(B234) &gt; 25, LEN(B234) &lt;= 50), "Medium", LEN(B234) &gt; 50, "Long")</f>
        <v>Long</v>
      </c>
      <c r="D234" t="s">
        <v>77</v>
      </c>
      <c r="E234" t="s">
        <v>82</v>
      </c>
      <c r="F234" s="1" t="b">
        <f t="shared" si="10"/>
        <v>0</v>
      </c>
    </row>
    <row r="235" spans="1:6" x14ac:dyDescent="0.3">
      <c r="A235" s="1">
        <v>234</v>
      </c>
      <c r="B235" t="s">
        <v>482</v>
      </c>
      <c r="C235" s="1" t="str" cm="1">
        <f t="array" ref="C235">_xlfn.IFS(LEN(B235) &lt;= 25, "Short", AND(LEN(B235) &gt; 25, LEN(B235) &lt;= 50), "Medium", LEN(B235) &gt; 50, "Long")</f>
        <v>Short</v>
      </c>
      <c r="D235" t="s">
        <v>80</v>
      </c>
      <c r="E235" t="s">
        <v>76</v>
      </c>
      <c r="F235" s="1" t="b">
        <f t="shared" si="10"/>
        <v>0</v>
      </c>
    </row>
    <row r="236" spans="1:6" x14ac:dyDescent="0.3">
      <c r="A236" s="1">
        <v>235</v>
      </c>
      <c r="B236" t="s">
        <v>483</v>
      </c>
      <c r="C236" s="1" t="str" cm="1">
        <f t="array" ref="C236">_xlfn.IFS(LEN(B236) &lt;= 25, "Short", AND(LEN(B236) &gt; 25, LEN(B236) &lt;= 50), "Medium", LEN(B236) &gt; 50, "Long")</f>
        <v>Short</v>
      </c>
      <c r="D236" t="s">
        <v>79</v>
      </c>
      <c r="E236" t="s">
        <v>82</v>
      </c>
      <c r="F236" s="1" t="b">
        <f t="shared" si="10"/>
        <v>0</v>
      </c>
    </row>
    <row r="237" spans="1:6" x14ac:dyDescent="0.3">
      <c r="A237" s="1">
        <v>236</v>
      </c>
      <c r="B237" t="s">
        <v>484</v>
      </c>
      <c r="C237" s="1" t="str" cm="1">
        <f t="array" ref="C237">_xlfn.IFS(LEN(B237) &lt;= 25, "Short", AND(LEN(B237) &gt; 25, LEN(B237) &lt;= 50), "Medium", LEN(B237) &gt; 50, "Long")</f>
        <v>Medium</v>
      </c>
      <c r="D237" t="s">
        <v>79</v>
      </c>
      <c r="E237" t="s">
        <v>79</v>
      </c>
      <c r="F237" s="1" t="b">
        <f t="shared" si="10"/>
        <v>1</v>
      </c>
    </row>
    <row r="238" spans="1:6" x14ac:dyDescent="0.3">
      <c r="A238" s="1">
        <v>237</v>
      </c>
      <c r="B238" t="s">
        <v>485</v>
      </c>
      <c r="C238" s="1" t="str" cm="1">
        <f t="array" ref="C238">_xlfn.IFS(LEN(B238) &lt;= 25, "Short", AND(LEN(B238) &gt; 25, LEN(B238) &lt;= 50), "Medium", LEN(B238) &gt; 50, "Long")</f>
        <v>Medium</v>
      </c>
      <c r="D238" t="s">
        <v>81</v>
      </c>
      <c r="E238" t="s">
        <v>80</v>
      </c>
      <c r="F238" s="1" t="b">
        <f t="shared" si="10"/>
        <v>0</v>
      </c>
    </row>
    <row r="239" spans="1:6" x14ac:dyDescent="0.3">
      <c r="A239" s="1">
        <v>238</v>
      </c>
      <c r="B239" t="s">
        <v>486</v>
      </c>
      <c r="C239" s="1" t="str" cm="1">
        <f t="array" ref="C239">_xlfn.IFS(LEN(B239) &lt;= 25, "Short", AND(LEN(B239) &gt; 25, LEN(B239) &lt;= 50), "Medium", LEN(B239) &gt; 50, "Long")</f>
        <v>Medium</v>
      </c>
      <c r="D239" t="s">
        <v>76</v>
      </c>
      <c r="E239" t="s">
        <v>80</v>
      </c>
      <c r="F239" s="1" t="b">
        <f t="shared" si="10"/>
        <v>0</v>
      </c>
    </row>
    <row r="240" spans="1:6" x14ac:dyDescent="0.3">
      <c r="A240" s="1">
        <v>239</v>
      </c>
      <c r="B240" t="s">
        <v>487</v>
      </c>
      <c r="C240" s="1" t="str" cm="1">
        <f t="array" ref="C240">_xlfn.IFS(LEN(B240) &lt;= 25, "Short", AND(LEN(B240) &gt; 25, LEN(B240) &lt;= 50), "Medium", LEN(B240) &gt; 50, "Long")</f>
        <v>Short</v>
      </c>
      <c r="D240" t="s">
        <v>80</v>
      </c>
      <c r="E240" t="s">
        <v>242</v>
      </c>
      <c r="F240" s="1" t="b">
        <f t="shared" si="10"/>
        <v>0</v>
      </c>
    </row>
    <row r="241" spans="1:6" x14ac:dyDescent="0.3">
      <c r="A241" s="1">
        <v>240</v>
      </c>
      <c r="B241" t="s">
        <v>488</v>
      </c>
      <c r="C241" s="1" t="str" cm="1">
        <f t="array" ref="C241">_xlfn.IFS(LEN(B241) &lt;= 25, "Short", AND(LEN(B241) &gt; 25, LEN(B241) &lt;= 50), "Medium", LEN(B241) &gt; 50, "Long")</f>
        <v>Medium</v>
      </c>
      <c r="D241" t="s">
        <v>81</v>
      </c>
      <c r="E241" t="s">
        <v>77</v>
      </c>
      <c r="F241" s="1" t="b">
        <f t="shared" si="10"/>
        <v>0</v>
      </c>
    </row>
    <row r="242" spans="1:6" x14ac:dyDescent="0.3">
      <c r="A242" s="1">
        <v>241</v>
      </c>
      <c r="B242" t="s">
        <v>489</v>
      </c>
      <c r="C242" s="1" t="str" cm="1">
        <f t="array" ref="C242">_xlfn.IFS(LEN(B242) &lt;= 25, "Short", AND(LEN(B242) &gt; 25, LEN(B242) &lt;= 50), "Medium", LEN(B242) &gt; 50, "Long")</f>
        <v>Medium</v>
      </c>
      <c r="D242" t="s">
        <v>81</v>
      </c>
      <c r="E242" t="s">
        <v>77</v>
      </c>
      <c r="F242" s="1" t="b">
        <f t="shared" si="10"/>
        <v>0</v>
      </c>
    </row>
    <row r="243" spans="1:6" x14ac:dyDescent="0.3">
      <c r="A243" s="1">
        <v>242</v>
      </c>
      <c r="B243" t="s">
        <v>490</v>
      </c>
      <c r="C243" s="1" t="str" cm="1">
        <f t="array" ref="C243">_xlfn.IFS(LEN(B243) &lt;= 25, "Short", AND(LEN(B243) &gt; 25, LEN(B243) &lt;= 50), "Medium", LEN(B243) &gt; 50, "Long")</f>
        <v>Long</v>
      </c>
      <c r="D243" t="s">
        <v>79</v>
      </c>
      <c r="E243" t="s">
        <v>79</v>
      </c>
      <c r="F243" s="1" t="b">
        <f t="shared" si="10"/>
        <v>1</v>
      </c>
    </row>
    <row r="244" spans="1:6" x14ac:dyDescent="0.3">
      <c r="A244" s="1">
        <v>243</v>
      </c>
      <c r="B244" t="s">
        <v>491</v>
      </c>
      <c r="C244" s="1" t="str" cm="1">
        <f t="array" ref="C244">_xlfn.IFS(LEN(B244) &lt;= 25, "Short", AND(LEN(B244) &gt; 25, LEN(B244) &lt;= 50), "Medium", LEN(B244) &gt; 50, "Long")</f>
        <v>Short</v>
      </c>
      <c r="D244" t="s">
        <v>77</v>
      </c>
      <c r="E244" t="s">
        <v>77</v>
      </c>
      <c r="F244" s="1" t="b">
        <f t="shared" si="10"/>
        <v>1</v>
      </c>
    </row>
    <row r="245" spans="1:6" x14ac:dyDescent="0.3">
      <c r="A245" s="1">
        <v>244</v>
      </c>
      <c r="B245" t="s">
        <v>492</v>
      </c>
      <c r="C245" s="1" t="str" cm="1">
        <f t="array" ref="C245">_xlfn.IFS(LEN(B245) &lt;= 25, "Short", AND(LEN(B245) &gt; 25, LEN(B245) &lt;= 50), "Medium", LEN(B245) &gt; 50, "Long")</f>
        <v>Long</v>
      </c>
      <c r="D245" t="s">
        <v>81</v>
      </c>
      <c r="E245" t="s">
        <v>81</v>
      </c>
      <c r="F245" s="1" t="b">
        <f t="shared" si="10"/>
        <v>1</v>
      </c>
    </row>
    <row r="246" spans="1:6" x14ac:dyDescent="0.3">
      <c r="A246" s="1">
        <v>245</v>
      </c>
      <c r="B246" t="s">
        <v>493</v>
      </c>
      <c r="C246" s="1" t="str" cm="1">
        <f t="array" ref="C246">_xlfn.IFS(LEN(B246) &lt;= 25, "Short", AND(LEN(B246) &gt; 25, LEN(B246) &lt;= 50), "Medium", LEN(B246) &gt; 50, "Long")</f>
        <v>Long</v>
      </c>
      <c r="D246" t="s">
        <v>82</v>
      </c>
      <c r="E246" t="s">
        <v>82</v>
      </c>
      <c r="F246" s="1" t="b">
        <f t="shared" si="10"/>
        <v>1</v>
      </c>
    </row>
    <row r="247" spans="1:6" x14ac:dyDescent="0.3">
      <c r="A247" s="1">
        <v>246</v>
      </c>
      <c r="B247" t="s">
        <v>494</v>
      </c>
      <c r="C247" s="1" t="str" cm="1">
        <f t="array" ref="C247">_xlfn.IFS(LEN(B247) &lt;= 25, "Short", AND(LEN(B247) &gt; 25, LEN(B247) &lt;= 50), "Medium", LEN(B247) &gt; 50, "Long")</f>
        <v>Long</v>
      </c>
      <c r="D247" t="s">
        <v>82</v>
      </c>
      <c r="E247" t="s">
        <v>77</v>
      </c>
      <c r="F247" s="1" t="b">
        <f t="shared" si="10"/>
        <v>0</v>
      </c>
    </row>
    <row r="248" spans="1:6" x14ac:dyDescent="0.3">
      <c r="A248" s="1">
        <v>247</v>
      </c>
      <c r="B248" t="s">
        <v>495</v>
      </c>
      <c r="C248" s="1" t="str" cm="1">
        <f t="array" ref="C248">_xlfn.IFS(LEN(B248) &lt;= 25, "Short", AND(LEN(B248) &gt; 25, LEN(B248) &lt;= 50), "Medium", LEN(B248) &gt; 50, "Long")</f>
        <v>Long</v>
      </c>
      <c r="D248" t="s">
        <v>82</v>
      </c>
      <c r="E248" t="s">
        <v>82</v>
      </c>
      <c r="F248" s="1" t="b">
        <f t="shared" si="10"/>
        <v>1</v>
      </c>
    </row>
    <row r="249" spans="1:6" x14ac:dyDescent="0.3">
      <c r="A249" s="1">
        <v>248</v>
      </c>
      <c r="B249" t="s">
        <v>496</v>
      </c>
      <c r="C249" s="1" t="str" cm="1">
        <f t="array" ref="C249">_xlfn.IFS(LEN(B249) &lt;= 25, "Short", AND(LEN(B249) &gt; 25, LEN(B249) &lt;= 50), "Medium", LEN(B249) &gt; 50, "Long")</f>
        <v>Medium</v>
      </c>
      <c r="D249" t="s">
        <v>79</v>
      </c>
      <c r="E249" t="s">
        <v>79</v>
      </c>
      <c r="F249" s="1" t="b">
        <f t="shared" si="10"/>
        <v>1</v>
      </c>
    </row>
    <row r="250" spans="1:6" x14ac:dyDescent="0.3">
      <c r="A250" s="1">
        <v>249</v>
      </c>
      <c r="B250" t="s">
        <v>497</v>
      </c>
      <c r="C250" s="1" t="str" cm="1">
        <f t="array" ref="C250">_xlfn.IFS(LEN(B250) &lt;= 25, "Short", AND(LEN(B250) &gt; 25, LEN(B250) &lt;= 50), "Medium", LEN(B250) &gt; 50, "Long")</f>
        <v>Long</v>
      </c>
      <c r="D250" t="s">
        <v>76</v>
      </c>
      <c r="E250" t="s">
        <v>79</v>
      </c>
      <c r="F250" s="1" t="b">
        <f t="shared" si="10"/>
        <v>0</v>
      </c>
    </row>
    <row r="251" spans="1:6" x14ac:dyDescent="0.3">
      <c r="A251" s="1">
        <v>250</v>
      </c>
      <c r="B251" t="s">
        <v>498</v>
      </c>
      <c r="C251" s="1" t="str" cm="1">
        <f t="array" ref="C251">_xlfn.IFS(LEN(B251) &lt;= 25, "Short", AND(LEN(B251) &gt; 25, LEN(B251) &lt;= 50), "Medium", LEN(B251) &gt; 50, "Long")</f>
        <v>Medium</v>
      </c>
      <c r="D251" t="s">
        <v>79</v>
      </c>
      <c r="E251" t="s">
        <v>82</v>
      </c>
      <c r="F251" s="1" t="b">
        <f t="shared" si="10"/>
        <v>0</v>
      </c>
    </row>
    <row r="252" spans="1:6" x14ac:dyDescent="0.3">
      <c r="A252" s="1">
        <v>251</v>
      </c>
      <c r="B252" t="s">
        <v>499</v>
      </c>
      <c r="C252" s="1" t="str" cm="1">
        <f t="array" ref="C252">_xlfn.IFS(LEN(B252) &lt;= 25, "Short", AND(LEN(B252) &gt; 25, LEN(B252) &lt;= 50), "Medium", LEN(B252) &gt; 50, "Long")</f>
        <v>Long</v>
      </c>
      <c r="D252" t="s">
        <v>76</v>
      </c>
      <c r="E252" t="s">
        <v>79</v>
      </c>
      <c r="F252" s="1" t="b">
        <f t="shared" si="10"/>
        <v>0</v>
      </c>
    </row>
    <row r="253" spans="1:6" x14ac:dyDescent="0.3">
      <c r="A253" s="1">
        <v>252</v>
      </c>
      <c r="B253" t="s">
        <v>500</v>
      </c>
      <c r="C253" s="1" t="str" cm="1">
        <f t="array" ref="C253">_xlfn.IFS(LEN(B253) &lt;= 25, "Short", AND(LEN(B253) &gt; 25, LEN(B253) &lt;= 50), "Medium", LEN(B253) &gt; 50, "Long")</f>
        <v>Long</v>
      </c>
      <c r="D253" t="s">
        <v>79</v>
      </c>
      <c r="E253" t="s">
        <v>79</v>
      </c>
      <c r="F253" s="1" t="b">
        <f t="shared" si="10"/>
        <v>1</v>
      </c>
    </row>
    <row r="254" spans="1:6" x14ac:dyDescent="0.3">
      <c r="A254" s="1">
        <v>253</v>
      </c>
      <c r="B254" t="s">
        <v>501</v>
      </c>
      <c r="C254" s="1" t="str" cm="1">
        <f t="array" ref="C254">_xlfn.IFS(LEN(B254) &lt;= 25, "Short", AND(LEN(B254) &gt; 25, LEN(B254) &lt;= 50), "Medium", LEN(B254) &gt; 50, "Long")</f>
        <v>Medium</v>
      </c>
      <c r="D254" t="s">
        <v>76</v>
      </c>
      <c r="E254" t="s">
        <v>76</v>
      </c>
      <c r="F254" s="1" t="b">
        <f t="shared" si="10"/>
        <v>1</v>
      </c>
    </row>
    <row r="255" spans="1:6" x14ac:dyDescent="0.3">
      <c r="A255" s="1">
        <v>254</v>
      </c>
      <c r="B255" t="s">
        <v>502</v>
      </c>
      <c r="C255" s="1" t="str" cm="1">
        <f t="array" ref="C255">_xlfn.IFS(LEN(B255) &lt;= 25, "Short", AND(LEN(B255) &gt; 25, LEN(B255) &lt;= 50), "Medium", LEN(B255) &gt; 50, "Long")</f>
        <v>Long</v>
      </c>
      <c r="D255" t="s">
        <v>77</v>
      </c>
      <c r="E255" t="s">
        <v>77</v>
      </c>
      <c r="F255" s="1" t="b">
        <f t="shared" si="10"/>
        <v>1</v>
      </c>
    </row>
    <row r="256" spans="1:6" x14ac:dyDescent="0.3">
      <c r="A256" s="1">
        <v>255</v>
      </c>
      <c r="B256" t="s">
        <v>503</v>
      </c>
      <c r="C256" s="1" t="str" cm="1">
        <f t="array" ref="C256">_xlfn.IFS(LEN(B256) &lt;= 25, "Short", AND(LEN(B256) &gt; 25, LEN(B256) &lt;= 50), "Medium", LEN(B256) &gt; 50, "Long")</f>
        <v>Long</v>
      </c>
      <c r="D256" t="s">
        <v>80</v>
      </c>
      <c r="E256" t="s">
        <v>82</v>
      </c>
      <c r="F256" s="1" t="b">
        <f t="shared" si="10"/>
        <v>0</v>
      </c>
    </row>
    <row r="257" spans="1:6" x14ac:dyDescent="0.3">
      <c r="A257" s="1">
        <v>256</v>
      </c>
      <c r="B257" t="s">
        <v>504</v>
      </c>
      <c r="C257" s="1" t="str" cm="1">
        <f t="array" ref="C257">_xlfn.IFS(LEN(B257) &lt;= 25, "Short", AND(LEN(B257) &gt; 25, LEN(B257) &lt;= 50), "Medium", LEN(B257) &gt; 50, "Long")</f>
        <v>Short</v>
      </c>
      <c r="D257" t="s">
        <v>79</v>
      </c>
      <c r="E257" t="s">
        <v>80</v>
      </c>
      <c r="F257" s="1" t="b">
        <f t="shared" si="10"/>
        <v>0</v>
      </c>
    </row>
    <row r="258" spans="1:6" x14ac:dyDescent="0.3">
      <c r="A258" s="1">
        <v>257</v>
      </c>
      <c r="B258" t="s">
        <v>505</v>
      </c>
      <c r="C258" s="1" t="str" cm="1">
        <f t="array" ref="C258">_xlfn.IFS(LEN(B258) &lt;= 25, "Short", AND(LEN(B258) &gt; 25, LEN(B258) &lt;= 50), "Medium", LEN(B258) &gt; 50, "Long")</f>
        <v>Medium</v>
      </c>
      <c r="D258" t="s">
        <v>76</v>
      </c>
      <c r="E258" t="s">
        <v>80</v>
      </c>
      <c r="F258" s="1" t="b">
        <f t="shared" si="10"/>
        <v>0</v>
      </c>
    </row>
    <row r="259" spans="1:6" x14ac:dyDescent="0.3">
      <c r="A259" s="1">
        <v>258</v>
      </c>
      <c r="B259" t="s">
        <v>506</v>
      </c>
      <c r="C259" s="1" t="str" cm="1">
        <f t="array" ref="C259">_xlfn.IFS(LEN(B259) &lt;= 25, "Short", AND(LEN(B259) &gt; 25, LEN(B259) &lt;= 50), "Medium", LEN(B259) &gt; 50, "Long")</f>
        <v>Medium</v>
      </c>
      <c r="D259" t="s">
        <v>80</v>
      </c>
      <c r="E259" t="s">
        <v>80</v>
      </c>
      <c r="F259" s="1" t="b">
        <f t="shared" si="10"/>
        <v>1</v>
      </c>
    </row>
    <row r="260" spans="1:6" x14ac:dyDescent="0.3">
      <c r="A260" s="1">
        <v>259</v>
      </c>
      <c r="B260" t="s">
        <v>507</v>
      </c>
      <c r="C260" s="1" t="str" cm="1">
        <f t="array" ref="C260">_xlfn.IFS(LEN(B260) &lt;= 25, "Short", AND(LEN(B260) &gt; 25, LEN(B260) &lt;= 50), "Medium", LEN(B260) &gt; 50, "Long")</f>
        <v>Short</v>
      </c>
      <c r="D260" t="s">
        <v>79</v>
      </c>
      <c r="E260" t="s">
        <v>77</v>
      </c>
      <c r="F260" s="1" t="b">
        <f t="shared" si="10"/>
        <v>0</v>
      </c>
    </row>
    <row r="261" spans="1:6" x14ac:dyDescent="0.3">
      <c r="A261" s="1">
        <v>260</v>
      </c>
      <c r="B261" t="s">
        <v>508</v>
      </c>
      <c r="C261" s="1" t="str" cm="1">
        <f t="array" ref="C261">_xlfn.IFS(LEN(B261) &lt;= 25, "Short", AND(LEN(B261) &gt; 25, LEN(B261) &lt;= 50), "Medium", LEN(B261) &gt; 50, "Long")</f>
        <v>Medium</v>
      </c>
      <c r="D261" t="s">
        <v>79</v>
      </c>
      <c r="E261" t="s">
        <v>79</v>
      </c>
      <c r="F261" s="1" t="b">
        <f t="shared" si="10"/>
        <v>1</v>
      </c>
    </row>
    <row r="262" spans="1:6" x14ac:dyDescent="0.3">
      <c r="A262" s="1">
        <v>261</v>
      </c>
      <c r="B262" t="s">
        <v>509</v>
      </c>
      <c r="C262" s="1" t="str" cm="1">
        <f t="array" ref="C262">_xlfn.IFS(LEN(B262) &lt;= 25, "Short", AND(LEN(B262) &gt; 25, LEN(B262) &lt;= 50), "Medium", LEN(B262) &gt; 50, "Long")</f>
        <v>Long</v>
      </c>
      <c r="D262" t="s">
        <v>76</v>
      </c>
      <c r="E262" t="s">
        <v>76</v>
      </c>
      <c r="F262" s="1" t="b">
        <f t="shared" si="10"/>
        <v>1</v>
      </c>
    </row>
    <row r="263" spans="1:6" x14ac:dyDescent="0.3">
      <c r="A263" s="1">
        <v>262</v>
      </c>
      <c r="B263" t="s">
        <v>510</v>
      </c>
      <c r="C263" s="1" t="str" cm="1">
        <f t="array" ref="C263">_xlfn.IFS(LEN(B263) &lt;= 25, "Short", AND(LEN(B263) &gt; 25, LEN(B263) &lt;= 50), "Medium", LEN(B263) &gt; 50, "Long")</f>
        <v>Long</v>
      </c>
      <c r="D263" t="s">
        <v>77</v>
      </c>
      <c r="E263" t="s">
        <v>80</v>
      </c>
      <c r="F263" s="1" t="b">
        <f t="shared" si="10"/>
        <v>0</v>
      </c>
    </row>
    <row r="264" spans="1:6" x14ac:dyDescent="0.3">
      <c r="A264" s="1">
        <v>263</v>
      </c>
      <c r="B264" t="s">
        <v>511</v>
      </c>
      <c r="C264" s="1" t="str" cm="1">
        <f t="array" ref="C264">_xlfn.IFS(LEN(B264) &lt;= 25, "Short", AND(LEN(B264) &gt; 25, LEN(B264) &lt;= 50), "Medium", LEN(B264) &gt; 50, "Long")</f>
        <v>Short</v>
      </c>
      <c r="D264" t="s">
        <v>77</v>
      </c>
      <c r="E264" t="s">
        <v>81</v>
      </c>
      <c r="F264" s="1" t="b">
        <f t="shared" si="10"/>
        <v>0</v>
      </c>
    </row>
    <row r="265" spans="1:6" x14ac:dyDescent="0.3">
      <c r="A265" s="1">
        <v>264</v>
      </c>
      <c r="B265" t="s">
        <v>512</v>
      </c>
      <c r="C265" s="1" t="str" cm="1">
        <f t="array" ref="C265">_xlfn.IFS(LEN(B265) &lt;= 25, "Short", AND(LEN(B265) &gt; 25, LEN(B265) &lt;= 50), "Medium", LEN(B265) &gt; 50, "Long")</f>
        <v>Long</v>
      </c>
      <c r="D265" t="s">
        <v>80</v>
      </c>
      <c r="E265" t="s">
        <v>80</v>
      </c>
      <c r="F265" s="1" t="b">
        <f t="shared" ref="F265:F296" si="11">IF(D265=E265, TRUE, FALSE)</f>
        <v>1</v>
      </c>
    </row>
    <row r="266" spans="1:6" x14ac:dyDescent="0.3">
      <c r="A266" s="1">
        <v>265</v>
      </c>
      <c r="B266" t="s">
        <v>513</v>
      </c>
      <c r="C266" s="1" t="str" cm="1">
        <f t="array" ref="C266">_xlfn.IFS(LEN(B266) &lt;= 25, "Short", AND(LEN(B266) &gt; 25, LEN(B266) &lt;= 50), "Medium", LEN(B266) &gt; 50, "Long")</f>
        <v>Long</v>
      </c>
      <c r="D266" t="s">
        <v>77</v>
      </c>
      <c r="E266" t="s">
        <v>82</v>
      </c>
      <c r="F266" s="1" t="b">
        <f t="shared" si="11"/>
        <v>0</v>
      </c>
    </row>
    <row r="267" spans="1:6" x14ac:dyDescent="0.3">
      <c r="A267" s="1">
        <v>266</v>
      </c>
      <c r="B267" t="s">
        <v>514</v>
      </c>
      <c r="C267" s="1" t="str" cm="1">
        <f t="array" ref="C267">_xlfn.IFS(LEN(B267) &lt;= 25, "Short", AND(LEN(B267) &gt; 25, LEN(B267) &lt;= 50), "Medium", LEN(B267) &gt; 50, "Long")</f>
        <v>Long</v>
      </c>
      <c r="D267" t="s">
        <v>76</v>
      </c>
      <c r="E267" t="s">
        <v>76</v>
      </c>
      <c r="F267" s="1" t="b">
        <f t="shared" si="11"/>
        <v>1</v>
      </c>
    </row>
    <row r="268" spans="1:6" x14ac:dyDescent="0.3">
      <c r="A268" s="1">
        <v>267</v>
      </c>
      <c r="B268" t="s">
        <v>515</v>
      </c>
      <c r="C268" s="1" t="str" cm="1">
        <f t="array" ref="C268">_xlfn.IFS(LEN(B268) &lt;= 25, "Short", AND(LEN(B268) &gt; 25, LEN(B268) &lt;= 50), "Medium", LEN(B268) &gt; 50, "Long")</f>
        <v>Medium</v>
      </c>
      <c r="D268" t="s">
        <v>76</v>
      </c>
      <c r="E268" t="s">
        <v>82</v>
      </c>
      <c r="F268" s="1" t="b">
        <f t="shared" si="11"/>
        <v>0</v>
      </c>
    </row>
    <row r="269" spans="1:6" x14ac:dyDescent="0.3">
      <c r="A269" s="1">
        <v>268</v>
      </c>
      <c r="B269" t="s">
        <v>516</v>
      </c>
      <c r="C269" s="1" t="str" cm="1">
        <f t="array" ref="C269">_xlfn.IFS(LEN(B269) &lt;= 25, "Short", AND(LEN(B269) &gt; 25, LEN(B269) &lt;= 50), "Medium", LEN(B269) &gt; 50, "Long")</f>
        <v>Long</v>
      </c>
      <c r="D269" t="s">
        <v>80</v>
      </c>
      <c r="E269" t="s">
        <v>80</v>
      </c>
      <c r="F269" s="1" t="b">
        <f t="shared" si="11"/>
        <v>1</v>
      </c>
    </row>
    <row r="270" spans="1:6" x14ac:dyDescent="0.3">
      <c r="A270" s="1">
        <v>269</v>
      </c>
      <c r="B270" t="s">
        <v>517</v>
      </c>
      <c r="C270" s="1" t="str" cm="1">
        <f t="array" ref="C270">_xlfn.IFS(LEN(B270) &lt;= 25, "Short", AND(LEN(B270) &gt; 25, LEN(B270) &lt;= 50), "Medium", LEN(B270) &gt; 50, "Long")</f>
        <v>Long</v>
      </c>
      <c r="D270" t="s">
        <v>80</v>
      </c>
      <c r="E270" t="s">
        <v>79</v>
      </c>
      <c r="F270" s="1" t="b">
        <f t="shared" si="11"/>
        <v>0</v>
      </c>
    </row>
    <row r="271" spans="1:6" x14ac:dyDescent="0.3">
      <c r="A271" s="1">
        <v>270</v>
      </c>
      <c r="B271" t="s">
        <v>518</v>
      </c>
      <c r="C271" s="1" t="str" cm="1">
        <f t="array" ref="C271">_xlfn.IFS(LEN(B271) &lt;= 25, "Short", AND(LEN(B271) &gt; 25, LEN(B271) &lt;= 50), "Medium", LEN(B271) &gt; 50, "Long")</f>
        <v>Medium</v>
      </c>
      <c r="D271" t="s">
        <v>242</v>
      </c>
      <c r="E271" t="s">
        <v>242</v>
      </c>
      <c r="F271" s="1" t="b">
        <f t="shared" si="11"/>
        <v>1</v>
      </c>
    </row>
    <row r="272" spans="1:6" x14ac:dyDescent="0.3">
      <c r="A272" s="1">
        <v>271</v>
      </c>
      <c r="B272" t="s">
        <v>519</v>
      </c>
      <c r="C272" s="1" t="str" cm="1">
        <f t="array" ref="C272">_xlfn.IFS(LEN(B272) &lt;= 25, "Short", AND(LEN(B272) &gt; 25, LEN(B272) &lt;= 50), "Medium", LEN(B272) &gt; 50, "Long")</f>
        <v>Long</v>
      </c>
      <c r="D272" t="s">
        <v>81</v>
      </c>
      <c r="E272" t="s">
        <v>81</v>
      </c>
      <c r="F272" s="1" t="b">
        <f t="shared" si="11"/>
        <v>1</v>
      </c>
    </row>
    <row r="273" spans="1:6" x14ac:dyDescent="0.3">
      <c r="A273" s="1">
        <v>272</v>
      </c>
      <c r="B273" t="s">
        <v>520</v>
      </c>
      <c r="C273" s="1" t="str" cm="1">
        <f t="array" ref="C273">_xlfn.IFS(LEN(B273) &lt;= 25, "Short", AND(LEN(B273) &gt; 25, LEN(B273) &lt;= 50), "Medium", LEN(B273) &gt; 50, "Long")</f>
        <v>Long</v>
      </c>
      <c r="D273" t="s">
        <v>76</v>
      </c>
      <c r="E273" t="s">
        <v>79</v>
      </c>
      <c r="F273" s="1" t="b">
        <f t="shared" si="11"/>
        <v>0</v>
      </c>
    </row>
    <row r="274" spans="1:6" x14ac:dyDescent="0.3">
      <c r="A274" s="1">
        <v>273</v>
      </c>
      <c r="B274" t="s">
        <v>521</v>
      </c>
      <c r="C274" s="1" t="str" cm="1">
        <f t="array" ref="C274">_xlfn.IFS(LEN(B274) &lt;= 25, "Short", AND(LEN(B274) &gt; 25, LEN(B274) &lt;= 50), "Medium", LEN(B274) &gt; 50, "Long")</f>
        <v>Short</v>
      </c>
      <c r="D274" t="s">
        <v>79</v>
      </c>
      <c r="E274" t="s">
        <v>77</v>
      </c>
      <c r="F274" s="1" t="b">
        <f t="shared" si="11"/>
        <v>0</v>
      </c>
    </row>
    <row r="275" spans="1:6" x14ac:dyDescent="0.3">
      <c r="A275" s="1">
        <v>274</v>
      </c>
      <c r="B275" t="s">
        <v>522</v>
      </c>
      <c r="C275" s="1" t="str" cm="1">
        <f t="array" ref="C275">_xlfn.IFS(LEN(B275) &lt;= 25, "Short", AND(LEN(B275) &gt; 25, LEN(B275) &lt;= 50), "Medium", LEN(B275) &gt; 50, "Long")</f>
        <v>Short</v>
      </c>
      <c r="D275" t="s">
        <v>80</v>
      </c>
      <c r="E275" t="s">
        <v>79</v>
      </c>
      <c r="F275" s="1" t="b">
        <f t="shared" si="11"/>
        <v>0</v>
      </c>
    </row>
    <row r="276" spans="1:6" x14ac:dyDescent="0.3">
      <c r="A276" s="1">
        <v>275</v>
      </c>
      <c r="B276" t="s">
        <v>523</v>
      </c>
      <c r="C276" s="1" t="str" cm="1">
        <f t="array" ref="C276">_xlfn.IFS(LEN(B276) &lt;= 25, "Short", AND(LEN(B276) &gt; 25, LEN(B276) &lt;= 50), "Medium", LEN(B276) &gt; 50, "Long")</f>
        <v>Short</v>
      </c>
      <c r="D276" t="s">
        <v>77</v>
      </c>
      <c r="E276" t="s">
        <v>82</v>
      </c>
      <c r="F276" s="1" t="b">
        <f t="shared" si="11"/>
        <v>0</v>
      </c>
    </row>
    <row r="277" spans="1:6" x14ac:dyDescent="0.3">
      <c r="A277" s="1">
        <v>276</v>
      </c>
      <c r="B277" t="s">
        <v>524</v>
      </c>
      <c r="C277" s="1" t="str" cm="1">
        <f t="array" ref="C277">_xlfn.IFS(LEN(B277) &lt;= 25, "Short", AND(LEN(B277) &gt; 25, LEN(B277) &lt;= 50), "Medium", LEN(B277) &gt; 50, "Long")</f>
        <v>Long</v>
      </c>
      <c r="D277" t="s">
        <v>77</v>
      </c>
      <c r="E277" t="s">
        <v>77</v>
      </c>
      <c r="F277" s="1" t="b">
        <f t="shared" si="11"/>
        <v>1</v>
      </c>
    </row>
    <row r="278" spans="1:6" x14ac:dyDescent="0.3">
      <c r="A278" s="1">
        <v>277</v>
      </c>
      <c r="B278" t="s">
        <v>525</v>
      </c>
      <c r="C278" s="1" t="str" cm="1">
        <f t="array" ref="C278">_xlfn.IFS(LEN(B278) &lt;= 25, "Short", AND(LEN(B278) &gt; 25, LEN(B278) &lt;= 50), "Medium", LEN(B278) &gt; 50, "Long")</f>
        <v>Long</v>
      </c>
      <c r="D278" t="s">
        <v>76</v>
      </c>
      <c r="E278" t="s">
        <v>76</v>
      </c>
      <c r="F278" s="1" t="b">
        <f t="shared" si="11"/>
        <v>1</v>
      </c>
    </row>
    <row r="279" spans="1:6" x14ac:dyDescent="0.3">
      <c r="A279" s="1">
        <v>278</v>
      </c>
      <c r="B279" t="s">
        <v>526</v>
      </c>
      <c r="C279" s="1" t="str" cm="1">
        <f t="array" ref="C279">_xlfn.IFS(LEN(B279) &lt;= 25, "Short", AND(LEN(B279) &gt; 25, LEN(B279) &lt;= 50), "Medium", LEN(B279) &gt; 50, "Long")</f>
        <v>Medium</v>
      </c>
      <c r="D279" t="s">
        <v>80</v>
      </c>
      <c r="E279" t="s">
        <v>80</v>
      </c>
      <c r="F279" s="1" t="b">
        <f t="shared" si="11"/>
        <v>1</v>
      </c>
    </row>
    <row r="280" spans="1:6" x14ac:dyDescent="0.3">
      <c r="A280" s="1">
        <v>279</v>
      </c>
      <c r="B280" t="s">
        <v>527</v>
      </c>
      <c r="C280" s="1" t="str" cm="1">
        <f t="array" ref="C280">_xlfn.IFS(LEN(B280) &lt;= 25, "Short", AND(LEN(B280) &gt; 25, LEN(B280) &lt;= 50), "Medium", LEN(B280) &gt; 50, "Long")</f>
        <v>Long</v>
      </c>
      <c r="D280" t="s">
        <v>79</v>
      </c>
      <c r="E280" t="s">
        <v>79</v>
      </c>
      <c r="F280" s="1" t="b">
        <f t="shared" si="11"/>
        <v>1</v>
      </c>
    </row>
    <row r="281" spans="1:6" x14ac:dyDescent="0.3">
      <c r="A281" s="1">
        <v>280</v>
      </c>
      <c r="B281" t="s">
        <v>528</v>
      </c>
      <c r="C281" s="1" t="str" cm="1">
        <f t="array" ref="C281">_xlfn.IFS(LEN(B281) &lt;= 25, "Short", AND(LEN(B281) &gt; 25, LEN(B281) &lt;= 50), "Medium", LEN(B281) &gt; 50, "Long")</f>
        <v>Long</v>
      </c>
      <c r="D281" t="s">
        <v>80</v>
      </c>
      <c r="E281" t="s">
        <v>80</v>
      </c>
      <c r="F281" s="1" t="b">
        <f t="shared" si="11"/>
        <v>1</v>
      </c>
    </row>
    <row r="282" spans="1:6" x14ac:dyDescent="0.3">
      <c r="A282" s="1">
        <v>281</v>
      </c>
      <c r="B282" t="s">
        <v>529</v>
      </c>
      <c r="C282" s="1" t="str" cm="1">
        <f t="array" ref="C282">_xlfn.IFS(LEN(B282) &lt;= 25, "Short", AND(LEN(B282) &gt; 25, LEN(B282) &lt;= 50), "Medium", LEN(B282) &gt; 50, "Long")</f>
        <v>Short</v>
      </c>
      <c r="D282" t="s">
        <v>242</v>
      </c>
      <c r="E282" t="s">
        <v>242</v>
      </c>
      <c r="F282" s="1" t="b">
        <f t="shared" si="11"/>
        <v>1</v>
      </c>
    </row>
    <row r="283" spans="1:6" x14ac:dyDescent="0.3">
      <c r="A283" s="1">
        <v>282</v>
      </c>
      <c r="B283" t="s">
        <v>530</v>
      </c>
      <c r="C283" s="1" t="str" cm="1">
        <f t="array" ref="C283">_xlfn.IFS(LEN(B283) &lt;= 25, "Short", AND(LEN(B283) &gt; 25, LEN(B283) &lt;= 50), "Medium", LEN(B283) &gt; 50, "Long")</f>
        <v>Short</v>
      </c>
      <c r="D283" t="s">
        <v>76</v>
      </c>
      <c r="E283" t="s">
        <v>76</v>
      </c>
      <c r="F283" s="1" t="b">
        <f t="shared" si="11"/>
        <v>1</v>
      </c>
    </row>
    <row r="284" spans="1:6" x14ac:dyDescent="0.3">
      <c r="A284" s="1">
        <v>283</v>
      </c>
      <c r="B284" t="s">
        <v>531</v>
      </c>
      <c r="C284" s="1" t="str" cm="1">
        <f t="array" ref="C284">_xlfn.IFS(LEN(B284) &lt;= 25, "Short", AND(LEN(B284) &gt; 25, LEN(B284) &lt;= 50), "Medium", LEN(B284) &gt; 50, "Long")</f>
        <v>Medium</v>
      </c>
      <c r="D284" t="s">
        <v>80</v>
      </c>
      <c r="E284" t="s">
        <v>80</v>
      </c>
      <c r="F284" s="1" t="b">
        <f t="shared" si="11"/>
        <v>1</v>
      </c>
    </row>
    <row r="285" spans="1:6" x14ac:dyDescent="0.3">
      <c r="A285" s="1">
        <v>284</v>
      </c>
      <c r="B285" t="s">
        <v>532</v>
      </c>
      <c r="C285" s="1" t="str" cm="1">
        <f t="array" ref="C285">_xlfn.IFS(LEN(B285) &lt;= 25, "Short", AND(LEN(B285) &gt; 25, LEN(B285) &lt;= 50), "Medium", LEN(B285) &gt; 50, "Long")</f>
        <v>Long</v>
      </c>
      <c r="D285" t="s">
        <v>80</v>
      </c>
      <c r="E285" t="s">
        <v>80</v>
      </c>
      <c r="F285" s="1" t="b">
        <f t="shared" si="11"/>
        <v>1</v>
      </c>
    </row>
    <row r="286" spans="1:6" x14ac:dyDescent="0.3">
      <c r="A286" s="1">
        <v>285</v>
      </c>
      <c r="B286" t="s">
        <v>533</v>
      </c>
      <c r="C286" s="1" t="str" cm="1">
        <f t="array" ref="C286">_xlfn.IFS(LEN(B286) &lt;= 25, "Short", AND(LEN(B286) &gt; 25, LEN(B286) &lt;= 50), "Medium", LEN(B286) &gt; 50, "Long")</f>
        <v>Short</v>
      </c>
      <c r="D286" t="s">
        <v>81</v>
      </c>
      <c r="E286" t="s">
        <v>77</v>
      </c>
      <c r="F286" s="1" t="b">
        <f t="shared" si="11"/>
        <v>0</v>
      </c>
    </row>
    <row r="287" spans="1:6" x14ac:dyDescent="0.3">
      <c r="A287" s="1">
        <v>286</v>
      </c>
      <c r="B287" t="s">
        <v>534</v>
      </c>
      <c r="C287" s="1" t="str" cm="1">
        <f t="array" ref="C287">_xlfn.IFS(LEN(B287) &lt;= 25, "Short", AND(LEN(B287) &gt; 25, LEN(B287) &lt;= 50), "Medium", LEN(B287) &gt; 50, "Long")</f>
        <v>Medium</v>
      </c>
      <c r="D287" t="s">
        <v>79</v>
      </c>
      <c r="E287" t="s">
        <v>242</v>
      </c>
      <c r="F287" s="1" t="b">
        <f t="shared" si="11"/>
        <v>0</v>
      </c>
    </row>
    <row r="288" spans="1:6" x14ac:dyDescent="0.3">
      <c r="A288" s="1">
        <v>287</v>
      </c>
      <c r="B288" t="s">
        <v>535</v>
      </c>
      <c r="C288" s="1" t="str" cm="1">
        <f t="array" ref="C288">_xlfn.IFS(LEN(B288) &lt;= 25, "Short", AND(LEN(B288) &gt; 25, LEN(B288) &lt;= 50), "Medium", LEN(B288) &gt; 50, "Long")</f>
        <v>Medium</v>
      </c>
      <c r="D288" t="s">
        <v>81</v>
      </c>
      <c r="E288" t="s">
        <v>81</v>
      </c>
      <c r="F288" s="1" t="b">
        <f t="shared" si="11"/>
        <v>1</v>
      </c>
    </row>
    <row r="289" spans="1:6" x14ac:dyDescent="0.3">
      <c r="A289" s="1">
        <v>288</v>
      </c>
      <c r="B289" t="s">
        <v>536</v>
      </c>
      <c r="C289" s="1" t="str" cm="1">
        <f t="array" ref="C289">_xlfn.IFS(LEN(B289) &lt;= 25, "Short", AND(LEN(B289) &gt; 25, LEN(B289) &lt;= 50), "Medium", LEN(B289) &gt; 50, "Long")</f>
        <v>Long</v>
      </c>
      <c r="D289" t="s">
        <v>80</v>
      </c>
      <c r="E289" t="s">
        <v>80</v>
      </c>
      <c r="F289" s="1" t="b">
        <f t="shared" si="11"/>
        <v>1</v>
      </c>
    </row>
    <row r="290" spans="1:6" x14ac:dyDescent="0.3">
      <c r="A290" s="1">
        <v>289</v>
      </c>
      <c r="B290" t="s">
        <v>537</v>
      </c>
      <c r="C290" s="1" t="str" cm="1">
        <f t="array" ref="C290">_xlfn.IFS(LEN(B290) &lt;= 25, "Short", AND(LEN(B290) &gt; 25, LEN(B290) &lt;= 50), "Medium", LEN(B290) &gt; 50, "Long")</f>
        <v>Long</v>
      </c>
      <c r="D290" t="s">
        <v>76</v>
      </c>
      <c r="E290" t="s">
        <v>76</v>
      </c>
      <c r="F290" s="1" t="b">
        <f t="shared" si="11"/>
        <v>1</v>
      </c>
    </row>
    <row r="291" spans="1:6" x14ac:dyDescent="0.3">
      <c r="A291" s="1">
        <v>290</v>
      </c>
      <c r="B291" t="s">
        <v>538</v>
      </c>
      <c r="C291" s="1" t="str" cm="1">
        <f t="array" ref="C291">_xlfn.IFS(LEN(B291) &lt;= 25, "Short", AND(LEN(B291) &gt; 25, LEN(B291) &lt;= 50), "Medium", LEN(B291) &gt; 50, "Long")</f>
        <v>Long</v>
      </c>
      <c r="D291" t="s">
        <v>79</v>
      </c>
      <c r="E291" t="s">
        <v>80</v>
      </c>
      <c r="F291" s="1" t="b">
        <f t="shared" si="11"/>
        <v>0</v>
      </c>
    </row>
    <row r="292" spans="1:6" x14ac:dyDescent="0.3">
      <c r="A292" s="1">
        <v>291</v>
      </c>
      <c r="B292" t="s">
        <v>539</v>
      </c>
      <c r="C292" s="1" t="str" cm="1">
        <f t="array" ref="C292">_xlfn.IFS(LEN(B292) &lt;= 25, "Short", AND(LEN(B292) &gt; 25, LEN(B292) &lt;= 50), "Medium", LEN(B292) &gt; 50, "Long")</f>
        <v>Medium</v>
      </c>
      <c r="D292" t="s">
        <v>76</v>
      </c>
      <c r="E292" t="s">
        <v>82</v>
      </c>
      <c r="F292" s="1" t="b">
        <f t="shared" si="11"/>
        <v>0</v>
      </c>
    </row>
    <row r="293" spans="1:6" x14ac:dyDescent="0.3">
      <c r="A293" s="1">
        <v>292</v>
      </c>
      <c r="B293" t="s">
        <v>540</v>
      </c>
      <c r="C293" s="1" t="str" cm="1">
        <f t="array" ref="C293">_xlfn.IFS(LEN(B293) &lt;= 25, "Short", AND(LEN(B293) &gt; 25, LEN(B293) &lt;= 50), "Medium", LEN(B293) &gt; 50, "Long")</f>
        <v>Medium</v>
      </c>
      <c r="D293" t="s">
        <v>82</v>
      </c>
      <c r="E293" t="s">
        <v>82</v>
      </c>
      <c r="F293" s="1" t="b">
        <f t="shared" si="11"/>
        <v>1</v>
      </c>
    </row>
    <row r="294" spans="1:6" x14ac:dyDescent="0.3">
      <c r="A294" s="1">
        <v>293</v>
      </c>
      <c r="B294" t="s">
        <v>541</v>
      </c>
      <c r="C294" s="1" t="str" cm="1">
        <f t="array" ref="C294">_xlfn.IFS(LEN(B294) &lt;= 25, "Short", AND(LEN(B294) &gt; 25, LEN(B294) &lt;= 50), "Medium", LEN(B294) &gt; 50, "Long")</f>
        <v>Long</v>
      </c>
      <c r="D294" t="s">
        <v>76</v>
      </c>
      <c r="E294" t="s">
        <v>76</v>
      </c>
      <c r="F294" s="1" t="b">
        <f t="shared" si="11"/>
        <v>1</v>
      </c>
    </row>
    <row r="295" spans="1:6" x14ac:dyDescent="0.3">
      <c r="A295" s="1">
        <v>294</v>
      </c>
      <c r="B295" t="s">
        <v>542</v>
      </c>
      <c r="C295" s="1" t="str" cm="1">
        <f t="array" ref="C295">_xlfn.IFS(LEN(B295) &lt;= 25, "Short", AND(LEN(B295) &gt; 25, LEN(B295) &lt;= 50), "Medium", LEN(B295) &gt; 50, "Long")</f>
        <v>Medium</v>
      </c>
      <c r="D295" t="s">
        <v>80</v>
      </c>
      <c r="E295" t="s">
        <v>80</v>
      </c>
      <c r="F295" s="1" t="b">
        <f t="shared" si="11"/>
        <v>1</v>
      </c>
    </row>
    <row r="296" spans="1:6" x14ac:dyDescent="0.3">
      <c r="A296" s="1">
        <v>295</v>
      </c>
      <c r="B296" t="s">
        <v>543</v>
      </c>
      <c r="C296" s="1" t="str" cm="1">
        <f t="array" ref="C296">_xlfn.IFS(LEN(B296) &lt;= 25, "Short", AND(LEN(B296) &gt; 25, LEN(B296) &lt;= 50), "Medium", LEN(B296) &gt; 50, "Long")</f>
        <v>Long</v>
      </c>
      <c r="D296" t="s">
        <v>79</v>
      </c>
      <c r="E296" t="s">
        <v>242</v>
      </c>
      <c r="F296" s="1" t="b">
        <f t="shared" si="11"/>
        <v>0</v>
      </c>
    </row>
    <row r="297" spans="1:6" x14ac:dyDescent="0.3">
      <c r="A297" s="1">
        <v>296</v>
      </c>
      <c r="B297" t="s">
        <v>544</v>
      </c>
      <c r="C297" s="1" t="str" cm="1">
        <f t="array" ref="C297">_xlfn.IFS(LEN(B297) &lt;= 25, "Short", AND(LEN(B297) &gt; 25, LEN(B297) &lt;= 50), "Medium", LEN(B297) &gt; 50, "Long")</f>
        <v>Medium</v>
      </c>
      <c r="D297" t="s">
        <v>76</v>
      </c>
      <c r="E297" t="s">
        <v>76</v>
      </c>
      <c r="F297" s="1" t="b">
        <f t="shared" ref="F297:F300" si="12">IF(D297=E297, TRUE, FALSE)</f>
        <v>1</v>
      </c>
    </row>
    <row r="298" spans="1:6" x14ac:dyDescent="0.3">
      <c r="A298" s="1">
        <v>297</v>
      </c>
      <c r="B298" t="s">
        <v>545</v>
      </c>
      <c r="C298" s="1" t="str" cm="1">
        <f t="array" ref="C298">_xlfn.IFS(LEN(B298) &lt;= 25, "Short", AND(LEN(B298) &gt; 25, LEN(B298) &lt;= 50), "Medium", LEN(B298) &gt; 50, "Long")</f>
        <v>Medium</v>
      </c>
      <c r="D298" t="s">
        <v>81</v>
      </c>
      <c r="E298" t="s">
        <v>81</v>
      </c>
      <c r="F298" s="1" t="b">
        <f t="shared" si="12"/>
        <v>1</v>
      </c>
    </row>
    <row r="299" spans="1:6" x14ac:dyDescent="0.3">
      <c r="A299" s="1">
        <v>298</v>
      </c>
      <c r="B299" t="s">
        <v>546</v>
      </c>
      <c r="C299" s="1" t="str" cm="1">
        <f t="array" ref="C299">_xlfn.IFS(LEN(B299) &lt;= 25, "Short", AND(LEN(B299) &gt; 25, LEN(B299) &lt;= 50), "Medium", LEN(B299) &gt; 50, "Long")</f>
        <v>Medium</v>
      </c>
      <c r="D299" t="s">
        <v>80</v>
      </c>
      <c r="E299" t="s">
        <v>242</v>
      </c>
      <c r="F299" s="1" t="b">
        <f t="shared" si="12"/>
        <v>0</v>
      </c>
    </row>
    <row r="300" spans="1:6" x14ac:dyDescent="0.3">
      <c r="A300" s="1">
        <v>299</v>
      </c>
      <c r="B300" t="s">
        <v>547</v>
      </c>
      <c r="C300" s="1" t="str" cm="1">
        <f t="array" ref="C300">_xlfn.IFS(LEN(B300) &lt;= 25, "Short", AND(LEN(B300) &gt; 25, LEN(B300) &lt;= 50), "Medium", LEN(B300) &gt; 50, "Long")</f>
        <v>Long</v>
      </c>
      <c r="D300" t="s">
        <v>76</v>
      </c>
      <c r="E300" t="s">
        <v>76</v>
      </c>
      <c r="F300" s="1" t="b">
        <f t="shared" si="12"/>
        <v>1</v>
      </c>
    </row>
    <row r="301" spans="1:6" x14ac:dyDescent="0.3">
      <c r="A301" s="1">
        <v>300</v>
      </c>
      <c r="B301" t="s">
        <v>548</v>
      </c>
      <c r="C301" s="1" t="str" cm="1">
        <f t="array" ref="C301">_xlfn.IFS(LEN(B301) &lt;= 25, "Short", AND(LEN(B301) &gt; 25, LEN(B301) &lt;= 50), "Medium", LEN(B301) &gt; 50, "Long")</f>
        <v>Long</v>
      </c>
      <c r="D301" t="s">
        <v>81</v>
      </c>
      <c r="E301" t="s">
        <v>81</v>
      </c>
      <c r="F301" s="1" t="b">
        <f t="shared" ref="F301:F322" si="13">IF(D301=E301, TRUE, FALSE)</f>
        <v>1</v>
      </c>
    </row>
    <row r="302" spans="1:6" x14ac:dyDescent="0.3">
      <c r="A302" s="1">
        <v>301</v>
      </c>
      <c r="B302" t="s">
        <v>549</v>
      </c>
      <c r="C302" s="1" t="str" cm="1">
        <f t="array" ref="C302">_xlfn.IFS(LEN(B302) &lt;= 25, "Short", AND(LEN(B302) &gt; 25, LEN(B302) &lt;= 50), "Medium", LEN(B302) &gt; 50, "Long")</f>
        <v>Long</v>
      </c>
      <c r="D302" t="s">
        <v>80</v>
      </c>
      <c r="E302" t="s">
        <v>80</v>
      </c>
      <c r="F302" s="1" t="b">
        <f t="shared" si="13"/>
        <v>1</v>
      </c>
    </row>
    <row r="303" spans="1:6" x14ac:dyDescent="0.3">
      <c r="A303" s="1">
        <v>302</v>
      </c>
      <c r="B303" t="s">
        <v>550</v>
      </c>
      <c r="C303" s="1" t="str" cm="1">
        <f t="array" ref="C303">_xlfn.IFS(LEN(B303) &lt;= 25, "Short", AND(LEN(B303) &gt; 25, LEN(B303) &lt;= 50), "Medium", LEN(B303) &gt; 50, "Long")</f>
        <v>Short</v>
      </c>
      <c r="D303" t="s">
        <v>76</v>
      </c>
      <c r="E303" t="s">
        <v>76</v>
      </c>
      <c r="F303" s="1" t="b">
        <f t="shared" si="13"/>
        <v>1</v>
      </c>
    </row>
    <row r="304" spans="1:6" x14ac:dyDescent="0.3">
      <c r="A304" s="1">
        <v>303</v>
      </c>
      <c r="B304" t="s">
        <v>551</v>
      </c>
      <c r="C304" s="1" t="str" cm="1">
        <f t="array" ref="C304">_xlfn.IFS(LEN(B304) &lt;= 25, "Short", AND(LEN(B304) &gt; 25, LEN(B304) &lt;= 50), "Medium", LEN(B304) &gt; 50, "Long")</f>
        <v>Long</v>
      </c>
      <c r="D304" t="s">
        <v>81</v>
      </c>
      <c r="E304" t="s">
        <v>81</v>
      </c>
      <c r="F304" s="1" t="b">
        <f t="shared" si="13"/>
        <v>1</v>
      </c>
    </row>
    <row r="305" spans="1:6" x14ac:dyDescent="0.3">
      <c r="A305" s="1">
        <v>304</v>
      </c>
      <c r="B305" t="s">
        <v>552</v>
      </c>
      <c r="C305" s="1" t="str" cm="1">
        <f t="array" ref="C305">_xlfn.IFS(LEN(B305) &lt;= 25, "Short", AND(LEN(B305) &gt; 25, LEN(B305) &lt;= 50), "Medium", LEN(B305) &gt; 50, "Long")</f>
        <v>Medium</v>
      </c>
      <c r="D305" t="s">
        <v>80</v>
      </c>
      <c r="E305" t="s">
        <v>80</v>
      </c>
      <c r="F305" s="1" t="b">
        <f t="shared" si="13"/>
        <v>1</v>
      </c>
    </row>
    <row r="306" spans="1:6" x14ac:dyDescent="0.3">
      <c r="A306" s="1">
        <v>305</v>
      </c>
      <c r="B306" t="s">
        <v>553</v>
      </c>
      <c r="C306" s="1" t="str" cm="1">
        <f t="array" ref="C306">_xlfn.IFS(LEN(B306) &lt;= 25, "Short", AND(LEN(B306) &gt; 25, LEN(B306) &lt;= 50), "Medium", LEN(B306) &gt; 50, "Long")</f>
        <v>Long</v>
      </c>
      <c r="D306" t="s">
        <v>81</v>
      </c>
      <c r="E306" t="s">
        <v>77</v>
      </c>
      <c r="F306" s="1" t="b">
        <f t="shared" si="13"/>
        <v>0</v>
      </c>
    </row>
    <row r="307" spans="1:6" x14ac:dyDescent="0.3">
      <c r="A307" s="1">
        <v>306</v>
      </c>
      <c r="B307" t="s">
        <v>554</v>
      </c>
      <c r="C307" s="1" t="str" cm="1">
        <f t="array" ref="C307">_xlfn.IFS(LEN(B307) &lt;= 25, "Short", AND(LEN(B307) &gt; 25, LEN(B307) &lt;= 50), "Medium", LEN(B307) &gt; 50, "Long")</f>
        <v>Long</v>
      </c>
      <c r="D307" t="s">
        <v>81</v>
      </c>
      <c r="E307" t="s">
        <v>82</v>
      </c>
      <c r="F307" s="1" t="b">
        <f t="shared" si="13"/>
        <v>0</v>
      </c>
    </row>
    <row r="308" spans="1:6" x14ac:dyDescent="0.3">
      <c r="A308" s="1">
        <v>307</v>
      </c>
      <c r="B308" t="s">
        <v>555</v>
      </c>
      <c r="C308" s="1" t="str" cm="1">
        <f t="array" ref="C308">_xlfn.IFS(LEN(B308) &lt;= 25, "Short", AND(LEN(B308) &gt; 25, LEN(B308) &lt;= 50), "Medium", LEN(B308) &gt; 50, "Long")</f>
        <v>Long</v>
      </c>
      <c r="D308" t="s">
        <v>76</v>
      </c>
      <c r="E308" t="s">
        <v>76</v>
      </c>
      <c r="F308" s="1" t="b">
        <f t="shared" si="13"/>
        <v>1</v>
      </c>
    </row>
    <row r="309" spans="1:6" x14ac:dyDescent="0.3">
      <c r="A309" s="1">
        <v>308</v>
      </c>
      <c r="B309" t="s">
        <v>556</v>
      </c>
      <c r="C309" s="1" t="str" cm="1">
        <f t="array" ref="C309">_xlfn.IFS(LEN(B309) &lt;= 25, "Short", AND(LEN(B309) &gt; 25, LEN(B309) &lt;= 50), "Medium", LEN(B309) &gt; 50, "Long")</f>
        <v>Long</v>
      </c>
      <c r="D309" t="s">
        <v>76</v>
      </c>
      <c r="E309" t="s">
        <v>76</v>
      </c>
      <c r="F309" s="1" t="b">
        <f t="shared" si="13"/>
        <v>1</v>
      </c>
    </row>
    <row r="310" spans="1:6" x14ac:dyDescent="0.3">
      <c r="A310" s="1">
        <v>309</v>
      </c>
      <c r="B310" t="s">
        <v>557</v>
      </c>
      <c r="C310" s="1" t="str" cm="1">
        <f t="array" ref="C310">_xlfn.IFS(LEN(B310) &lt;= 25, "Short", AND(LEN(B310) &gt; 25, LEN(B310) &lt;= 50), "Medium", LEN(B310) &gt; 50, "Long")</f>
        <v>Medium</v>
      </c>
      <c r="D310" t="s">
        <v>79</v>
      </c>
      <c r="E310" t="s">
        <v>82</v>
      </c>
      <c r="F310" s="1" t="b">
        <f t="shared" si="13"/>
        <v>0</v>
      </c>
    </row>
    <row r="311" spans="1:6" x14ac:dyDescent="0.3">
      <c r="A311" s="1">
        <v>310</v>
      </c>
      <c r="B311" t="s">
        <v>558</v>
      </c>
      <c r="C311" s="1" t="str" cm="1">
        <f t="array" ref="C311">_xlfn.IFS(LEN(B311) &lt;= 25, "Short", AND(LEN(B311) &gt; 25, LEN(B311) &lt;= 50), "Medium", LEN(B311) &gt; 50, "Long")</f>
        <v>Medium</v>
      </c>
      <c r="D311" t="s">
        <v>81</v>
      </c>
      <c r="E311" t="s">
        <v>79</v>
      </c>
      <c r="F311" s="1" t="b">
        <f t="shared" si="13"/>
        <v>0</v>
      </c>
    </row>
    <row r="312" spans="1:6" x14ac:dyDescent="0.3">
      <c r="A312" s="1">
        <v>311</v>
      </c>
      <c r="B312" t="s">
        <v>559</v>
      </c>
      <c r="C312" s="1" t="str" cm="1">
        <f t="array" ref="C312">_xlfn.IFS(LEN(B312) &lt;= 25, "Short", AND(LEN(B312) &gt; 25, LEN(B312) &lt;= 50), "Medium", LEN(B312) &gt; 50, "Long")</f>
        <v>Medium</v>
      </c>
      <c r="D312" t="s">
        <v>81</v>
      </c>
      <c r="E312" t="s">
        <v>80</v>
      </c>
      <c r="F312" s="1" t="b">
        <f t="shared" si="13"/>
        <v>0</v>
      </c>
    </row>
    <row r="313" spans="1:6" x14ac:dyDescent="0.3">
      <c r="A313" s="1">
        <v>312</v>
      </c>
      <c r="B313" t="s">
        <v>560</v>
      </c>
      <c r="C313" s="1" t="str" cm="1">
        <f t="array" ref="C313">_xlfn.IFS(LEN(B313) &lt;= 25, "Short", AND(LEN(B313) &gt; 25, LEN(B313) &lt;= 50), "Medium", LEN(B313) &gt; 50, "Long")</f>
        <v>Long</v>
      </c>
      <c r="D313" t="s">
        <v>77</v>
      </c>
      <c r="E313" t="s">
        <v>79</v>
      </c>
      <c r="F313" s="1" t="b">
        <f t="shared" si="13"/>
        <v>0</v>
      </c>
    </row>
    <row r="314" spans="1:6" x14ac:dyDescent="0.3">
      <c r="A314" s="1">
        <v>313</v>
      </c>
      <c r="B314" t="s">
        <v>561</v>
      </c>
      <c r="C314" s="1" t="str" cm="1">
        <f t="array" ref="C314">_xlfn.IFS(LEN(B314) &lt;= 25, "Short", AND(LEN(B314) &gt; 25, LEN(B314) &lt;= 50), "Medium", LEN(B314) &gt; 50, "Long")</f>
        <v>Medium</v>
      </c>
      <c r="D314" t="s">
        <v>81</v>
      </c>
      <c r="E314" t="s">
        <v>82</v>
      </c>
      <c r="F314" s="1" t="b">
        <f t="shared" si="13"/>
        <v>0</v>
      </c>
    </row>
    <row r="315" spans="1:6" x14ac:dyDescent="0.3">
      <c r="A315" s="1">
        <v>314</v>
      </c>
      <c r="B315" t="s">
        <v>562</v>
      </c>
      <c r="C315" s="1" t="str" cm="1">
        <f t="array" ref="C315">_xlfn.IFS(LEN(B315) &lt;= 25, "Short", AND(LEN(B315) &gt; 25, LEN(B315) &lt;= 50), "Medium", LEN(B315) &gt; 50, "Long")</f>
        <v>Short</v>
      </c>
      <c r="D315" t="s">
        <v>82</v>
      </c>
      <c r="E315" t="s">
        <v>242</v>
      </c>
      <c r="F315" s="1" t="b">
        <f t="shared" si="13"/>
        <v>0</v>
      </c>
    </row>
    <row r="316" spans="1:6" x14ac:dyDescent="0.3">
      <c r="A316" s="1">
        <v>315</v>
      </c>
      <c r="B316" t="s">
        <v>563</v>
      </c>
      <c r="C316" s="1" t="str" cm="1">
        <f t="array" ref="C316">_xlfn.IFS(LEN(B316) &lt;= 25, "Short", AND(LEN(B316) &gt; 25, LEN(B316) &lt;= 50), "Medium", LEN(B316) &gt; 50, "Long")</f>
        <v>Medium</v>
      </c>
      <c r="D316" t="s">
        <v>82</v>
      </c>
      <c r="E316" t="s">
        <v>82</v>
      </c>
      <c r="F316" s="1" t="b">
        <f t="shared" si="13"/>
        <v>1</v>
      </c>
    </row>
    <row r="317" spans="1:6" x14ac:dyDescent="0.3">
      <c r="A317" s="1">
        <v>316</v>
      </c>
      <c r="B317" t="s">
        <v>564</v>
      </c>
      <c r="C317" s="1" t="str" cm="1">
        <f t="array" ref="C317">_xlfn.IFS(LEN(B317) &lt;= 25, "Short", AND(LEN(B317) &gt; 25, LEN(B317) &lt;= 50), "Medium", LEN(B317) &gt; 50, "Long")</f>
        <v>Medium</v>
      </c>
      <c r="D317" t="s">
        <v>81</v>
      </c>
      <c r="E317" t="s">
        <v>79</v>
      </c>
      <c r="F317" s="1" t="b">
        <f t="shared" si="13"/>
        <v>0</v>
      </c>
    </row>
    <row r="318" spans="1:6" x14ac:dyDescent="0.3">
      <c r="A318" s="1">
        <v>317</v>
      </c>
      <c r="B318" t="s">
        <v>565</v>
      </c>
      <c r="C318" s="1" t="str" cm="1">
        <f t="array" ref="C318">_xlfn.IFS(LEN(B318) &lt;= 25, "Short", AND(LEN(B318) &gt; 25, LEN(B318) &lt;= 50), "Medium", LEN(B318) &gt; 50, "Long")</f>
        <v>Medium</v>
      </c>
      <c r="D318" t="s">
        <v>242</v>
      </c>
      <c r="E318" t="s">
        <v>77</v>
      </c>
      <c r="F318" s="1" t="b">
        <f t="shared" si="13"/>
        <v>0</v>
      </c>
    </row>
    <row r="319" spans="1:6" x14ac:dyDescent="0.3">
      <c r="A319" s="1">
        <v>318</v>
      </c>
      <c r="B319" t="s">
        <v>566</v>
      </c>
      <c r="C319" s="1" t="str" cm="1">
        <f t="array" ref="C319">_xlfn.IFS(LEN(B319) &lt;= 25, "Short", AND(LEN(B319) &gt; 25, LEN(B319) &lt;= 50), "Medium", LEN(B319) &gt; 50, "Long")</f>
        <v>Long</v>
      </c>
      <c r="D319" t="s">
        <v>80</v>
      </c>
      <c r="E319" t="s">
        <v>80</v>
      </c>
      <c r="F319" s="1" t="b">
        <f t="shared" si="13"/>
        <v>1</v>
      </c>
    </row>
    <row r="320" spans="1:6" x14ac:dyDescent="0.3">
      <c r="A320" s="1">
        <v>319</v>
      </c>
      <c r="B320" t="s">
        <v>567</v>
      </c>
      <c r="C320" s="1" t="str" cm="1">
        <f t="array" ref="C320">_xlfn.IFS(LEN(B320) &lt;= 25, "Short", AND(LEN(B320) &gt; 25, LEN(B320) &lt;= 50), "Medium", LEN(B320) &gt; 50, "Long")</f>
        <v>Short</v>
      </c>
      <c r="D320" t="s">
        <v>81</v>
      </c>
      <c r="E320" t="s">
        <v>242</v>
      </c>
      <c r="F320" s="1" t="b">
        <f t="shared" si="13"/>
        <v>0</v>
      </c>
    </row>
    <row r="321" spans="1:6" x14ac:dyDescent="0.3">
      <c r="A321" s="1">
        <v>320</v>
      </c>
      <c r="B321" t="s">
        <v>568</v>
      </c>
      <c r="C321" s="1" t="str" cm="1">
        <f t="array" ref="C321">_xlfn.IFS(LEN(B321) &lt;= 25, "Short", AND(LEN(B321) &gt; 25, LEN(B321) &lt;= 50), "Medium", LEN(B321) &gt; 50, "Long")</f>
        <v>Long</v>
      </c>
      <c r="D321" t="s">
        <v>77</v>
      </c>
      <c r="E321" t="s">
        <v>82</v>
      </c>
      <c r="F321" s="1" t="b">
        <f t="shared" si="13"/>
        <v>0</v>
      </c>
    </row>
    <row r="322" spans="1:6" x14ac:dyDescent="0.3">
      <c r="A322" s="1">
        <v>321</v>
      </c>
      <c r="B322" t="s">
        <v>569</v>
      </c>
      <c r="C322" s="1" t="str" cm="1">
        <f t="array" ref="C322">_xlfn.IFS(LEN(B322) &lt;= 25, "Short", AND(LEN(B322) &gt; 25, LEN(B322) &lt;= 50), "Medium", LEN(B322) &gt; 50, "Long")</f>
        <v>Medium</v>
      </c>
      <c r="D322" t="s">
        <v>81</v>
      </c>
      <c r="E322" t="s">
        <v>81</v>
      </c>
      <c r="F322" s="1" t="b">
        <f t="shared" si="13"/>
        <v>1</v>
      </c>
    </row>
    <row r="323" spans="1:6" x14ac:dyDescent="0.3">
      <c r="A323" s="1">
        <v>322</v>
      </c>
      <c r="B323" t="s">
        <v>570</v>
      </c>
      <c r="C323" s="1" t="str" cm="1">
        <f t="array" ref="C323">_xlfn.IFS(LEN(B323) &lt;= 25, "Short", AND(LEN(B323) &gt; 25, LEN(B323) &lt;= 50), "Medium", LEN(B323) &gt; 50, "Long")</f>
        <v>Short</v>
      </c>
      <c r="D323" t="s">
        <v>77</v>
      </c>
      <c r="E323" t="s">
        <v>80</v>
      </c>
      <c r="F323" s="1" t="b">
        <f t="shared" ref="F323:F386" si="14">IF(D323=E323, TRUE, FALSE)</f>
        <v>0</v>
      </c>
    </row>
    <row r="324" spans="1:6" x14ac:dyDescent="0.3">
      <c r="A324" s="1">
        <v>323</v>
      </c>
      <c r="B324" t="s">
        <v>571</v>
      </c>
      <c r="C324" s="1" t="str" cm="1">
        <f t="array" ref="C324">_xlfn.IFS(LEN(B324) &lt;= 25, "Short", AND(LEN(B324) &gt; 25, LEN(B324) &lt;= 50), "Medium", LEN(B324) &gt; 50, "Long")</f>
        <v>Long</v>
      </c>
      <c r="D324" t="s">
        <v>76</v>
      </c>
      <c r="E324" t="s">
        <v>76</v>
      </c>
      <c r="F324" s="1" t="b">
        <f t="shared" si="14"/>
        <v>1</v>
      </c>
    </row>
    <row r="325" spans="1:6" x14ac:dyDescent="0.3">
      <c r="A325" s="1">
        <v>324</v>
      </c>
      <c r="B325" t="s">
        <v>572</v>
      </c>
      <c r="C325" s="1" t="str" cm="1">
        <f t="array" ref="C325">_xlfn.IFS(LEN(B325) &lt;= 25, "Short", AND(LEN(B325) &gt; 25, LEN(B325) &lt;= 50), "Medium", LEN(B325) &gt; 50, "Long")</f>
        <v>Long</v>
      </c>
      <c r="D325" t="s">
        <v>82</v>
      </c>
      <c r="E325" t="s">
        <v>82</v>
      </c>
      <c r="F325" s="1" t="b">
        <f t="shared" si="14"/>
        <v>1</v>
      </c>
    </row>
    <row r="326" spans="1:6" x14ac:dyDescent="0.3">
      <c r="A326" s="1">
        <v>325</v>
      </c>
      <c r="B326" t="s">
        <v>573</v>
      </c>
      <c r="C326" s="1" t="str" cm="1">
        <f t="array" ref="C326">_xlfn.IFS(LEN(B326) &lt;= 25, "Short", AND(LEN(B326) &gt; 25, LEN(B326) &lt;= 50), "Medium", LEN(B326) &gt; 50, "Long")</f>
        <v>Medium</v>
      </c>
      <c r="D326" t="s">
        <v>79</v>
      </c>
      <c r="E326" t="s">
        <v>81</v>
      </c>
      <c r="F326" s="1" t="b">
        <f t="shared" si="14"/>
        <v>0</v>
      </c>
    </row>
    <row r="327" spans="1:6" x14ac:dyDescent="0.3">
      <c r="A327" s="1">
        <v>326</v>
      </c>
      <c r="B327" t="s">
        <v>574</v>
      </c>
      <c r="C327" s="1" t="str" cm="1">
        <f t="array" ref="C327">_xlfn.IFS(LEN(B327) &lt;= 25, "Short", AND(LEN(B327) &gt; 25, LEN(B327) &lt;= 50), "Medium", LEN(B327) &gt; 50, "Long")</f>
        <v>Medium</v>
      </c>
      <c r="D327" t="s">
        <v>81</v>
      </c>
      <c r="E327" t="s">
        <v>82</v>
      </c>
      <c r="F327" s="1" t="b">
        <f t="shared" si="14"/>
        <v>0</v>
      </c>
    </row>
    <row r="328" spans="1:6" x14ac:dyDescent="0.3">
      <c r="A328" s="1">
        <v>327</v>
      </c>
      <c r="B328" t="s">
        <v>575</v>
      </c>
      <c r="C328" s="1" t="str" cm="1">
        <f t="array" ref="C328">_xlfn.IFS(LEN(B328) &lt;= 25, "Short", AND(LEN(B328) &gt; 25, LEN(B328) &lt;= 50), "Medium", LEN(B328) &gt; 50, "Long")</f>
        <v>Short</v>
      </c>
      <c r="D328" t="s">
        <v>81</v>
      </c>
      <c r="E328" t="s">
        <v>79</v>
      </c>
      <c r="F328" s="1" t="b">
        <f t="shared" si="14"/>
        <v>0</v>
      </c>
    </row>
    <row r="329" spans="1:6" x14ac:dyDescent="0.3">
      <c r="A329" s="1">
        <v>328</v>
      </c>
      <c r="B329" t="s">
        <v>576</v>
      </c>
      <c r="C329" s="1" t="str" cm="1">
        <f t="array" ref="C329">_xlfn.IFS(LEN(B329) &lt;= 25, "Short", AND(LEN(B329) &gt; 25, LEN(B329) &lt;= 50), "Medium", LEN(B329) &gt; 50, "Long")</f>
        <v>Long</v>
      </c>
      <c r="D329" t="s">
        <v>76</v>
      </c>
      <c r="E329" t="s">
        <v>76</v>
      </c>
      <c r="F329" s="1" t="b">
        <f t="shared" si="14"/>
        <v>1</v>
      </c>
    </row>
    <row r="330" spans="1:6" x14ac:dyDescent="0.3">
      <c r="A330" s="1">
        <v>329</v>
      </c>
      <c r="B330" t="s">
        <v>577</v>
      </c>
      <c r="C330" s="1" t="str" cm="1">
        <f t="array" ref="C330">_xlfn.IFS(LEN(B330) &lt;= 25, "Short", AND(LEN(B330) &gt; 25, LEN(B330) &lt;= 50), "Medium", LEN(B330) &gt; 50, "Long")</f>
        <v>Long</v>
      </c>
      <c r="D330" t="s">
        <v>77</v>
      </c>
      <c r="E330" t="s">
        <v>77</v>
      </c>
      <c r="F330" s="1" t="b">
        <f t="shared" si="14"/>
        <v>1</v>
      </c>
    </row>
    <row r="331" spans="1:6" x14ac:dyDescent="0.3">
      <c r="A331" s="1">
        <v>330</v>
      </c>
      <c r="B331" t="s">
        <v>578</v>
      </c>
      <c r="C331" s="1" t="str" cm="1">
        <f t="array" ref="C331">_xlfn.IFS(LEN(B331) &lt;= 25, "Short", AND(LEN(B331) &gt; 25, LEN(B331) &lt;= 50), "Medium", LEN(B331) &gt; 50, "Long")</f>
        <v>Medium</v>
      </c>
      <c r="D331" t="s">
        <v>81</v>
      </c>
      <c r="E331" t="s">
        <v>79</v>
      </c>
      <c r="F331" s="1" t="b">
        <f t="shared" si="14"/>
        <v>0</v>
      </c>
    </row>
    <row r="332" spans="1:6" x14ac:dyDescent="0.3">
      <c r="A332" s="1">
        <v>331</v>
      </c>
      <c r="B332" t="s">
        <v>579</v>
      </c>
      <c r="C332" s="1" t="str" cm="1">
        <f t="array" ref="C332">_xlfn.IFS(LEN(B332) &lt;= 25, "Short", AND(LEN(B332) &gt; 25, LEN(B332) &lt;= 50), "Medium", LEN(B332) &gt; 50, "Long")</f>
        <v>Long</v>
      </c>
      <c r="D332" t="s">
        <v>76</v>
      </c>
      <c r="E332" t="s">
        <v>76</v>
      </c>
      <c r="F332" s="1" t="b">
        <f t="shared" si="14"/>
        <v>1</v>
      </c>
    </row>
    <row r="333" spans="1:6" x14ac:dyDescent="0.3">
      <c r="A333" s="1">
        <v>332</v>
      </c>
      <c r="B333" t="s">
        <v>580</v>
      </c>
      <c r="C333" s="1" t="str" cm="1">
        <f t="array" ref="C333">_xlfn.IFS(LEN(B333) &lt;= 25, "Short", AND(LEN(B333) &gt; 25, LEN(B333) &lt;= 50), "Medium", LEN(B333) &gt; 50, "Long")</f>
        <v>Medium</v>
      </c>
      <c r="D333" t="s">
        <v>76</v>
      </c>
      <c r="E333" t="s">
        <v>76</v>
      </c>
      <c r="F333" s="1" t="b">
        <f t="shared" si="14"/>
        <v>1</v>
      </c>
    </row>
    <row r="334" spans="1:6" x14ac:dyDescent="0.3">
      <c r="A334" s="1">
        <v>333</v>
      </c>
      <c r="B334" t="s">
        <v>581</v>
      </c>
      <c r="C334" s="1" t="str" cm="1">
        <f t="array" ref="C334">_xlfn.IFS(LEN(B334) &lt;= 25, "Short", AND(LEN(B334) &gt; 25, LEN(B334) &lt;= 50), "Medium", LEN(B334) &gt; 50, "Long")</f>
        <v>Short</v>
      </c>
      <c r="D334" t="s">
        <v>79</v>
      </c>
      <c r="E334" t="s">
        <v>80</v>
      </c>
      <c r="F334" s="1" t="b">
        <f t="shared" si="14"/>
        <v>0</v>
      </c>
    </row>
    <row r="335" spans="1:6" x14ac:dyDescent="0.3">
      <c r="A335" s="1">
        <v>334</v>
      </c>
      <c r="B335" t="s">
        <v>582</v>
      </c>
      <c r="C335" s="1" t="str" cm="1">
        <f t="array" ref="C335">_xlfn.IFS(LEN(B335) &lt;= 25, "Short", AND(LEN(B335) &gt; 25, LEN(B335) &lt;= 50), "Medium", LEN(B335) &gt; 50, "Long")</f>
        <v>Long</v>
      </c>
      <c r="D335" t="s">
        <v>81</v>
      </c>
      <c r="E335" t="s">
        <v>77</v>
      </c>
      <c r="F335" s="1" t="b">
        <f t="shared" si="14"/>
        <v>0</v>
      </c>
    </row>
    <row r="336" spans="1:6" x14ac:dyDescent="0.3">
      <c r="A336" s="1">
        <v>335</v>
      </c>
      <c r="B336" t="s">
        <v>583</v>
      </c>
      <c r="C336" s="1" t="str" cm="1">
        <f t="array" ref="C336">_xlfn.IFS(LEN(B336) &lt;= 25, "Short", AND(LEN(B336) &gt; 25, LEN(B336) &lt;= 50), "Medium", LEN(B336) &gt; 50, "Long")</f>
        <v>Short</v>
      </c>
      <c r="D336" t="s">
        <v>81</v>
      </c>
      <c r="E336" t="s">
        <v>81</v>
      </c>
      <c r="F336" s="1" t="b">
        <f t="shared" si="14"/>
        <v>1</v>
      </c>
    </row>
    <row r="337" spans="1:6" x14ac:dyDescent="0.3">
      <c r="A337" s="1">
        <v>336</v>
      </c>
      <c r="B337" t="s">
        <v>584</v>
      </c>
      <c r="C337" s="1" t="str" cm="1">
        <f t="array" ref="C337">_xlfn.IFS(LEN(B337) &lt;= 25, "Short", AND(LEN(B337) &gt; 25, LEN(B337) &lt;= 50), "Medium", LEN(B337) &gt; 50, "Long")</f>
        <v>Short</v>
      </c>
      <c r="D337" t="s">
        <v>80</v>
      </c>
      <c r="E337" t="s">
        <v>80</v>
      </c>
      <c r="F337" s="1" t="b">
        <f t="shared" si="14"/>
        <v>1</v>
      </c>
    </row>
    <row r="338" spans="1:6" x14ac:dyDescent="0.3">
      <c r="A338" s="1">
        <v>337</v>
      </c>
      <c r="B338" t="s">
        <v>585</v>
      </c>
      <c r="C338" s="1" t="str" cm="1">
        <f t="array" ref="C338">_xlfn.IFS(LEN(B338) &lt;= 25, "Short", AND(LEN(B338) &gt; 25, LEN(B338) &lt;= 50), "Medium", LEN(B338) &gt; 50, "Long")</f>
        <v>Long</v>
      </c>
      <c r="D338" t="s">
        <v>76</v>
      </c>
      <c r="E338" t="s">
        <v>76</v>
      </c>
      <c r="F338" s="1" t="b">
        <f t="shared" si="14"/>
        <v>1</v>
      </c>
    </row>
    <row r="339" spans="1:6" x14ac:dyDescent="0.3">
      <c r="A339" s="1">
        <v>338</v>
      </c>
      <c r="B339" t="s">
        <v>586</v>
      </c>
      <c r="C339" s="1" t="str" cm="1">
        <f t="array" ref="C339">_xlfn.IFS(LEN(B339) &lt;= 25, "Short", AND(LEN(B339) &gt; 25, LEN(B339) &lt;= 50), "Medium", LEN(B339) &gt; 50, "Long")</f>
        <v>Long</v>
      </c>
      <c r="D339" t="s">
        <v>81</v>
      </c>
      <c r="E339" t="s">
        <v>79</v>
      </c>
      <c r="F339" s="1" t="b">
        <f t="shared" si="14"/>
        <v>0</v>
      </c>
    </row>
    <row r="340" spans="1:6" x14ac:dyDescent="0.3">
      <c r="A340" s="1">
        <v>339</v>
      </c>
      <c r="B340" t="s">
        <v>587</v>
      </c>
      <c r="C340" s="1" t="str" cm="1">
        <f t="array" ref="C340">_xlfn.IFS(LEN(B340) &lt;= 25, "Short", AND(LEN(B340) &gt; 25, LEN(B340) &lt;= 50), "Medium", LEN(B340) &gt; 50, "Long")</f>
        <v>Medium</v>
      </c>
      <c r="D340" t="s">
        <v>81</v>
      </c>
      <c r="E340" t="s">
        <v>80</v>
      </c>
      <c r="F340" s="1" t="b">
        <f t="shared" si="14"/>
        <v>0</v>
      </c>
    </row>
    <row r="341" spans="1:6" x14ac:dyDescent="0.3">
      <c r="A341" s="1">
        <v>340</v>
      </c>
      <c r="B341" t="s">
        <v>588</v>
      </c>
      <c r="C341" s="1" t="str" cm="1">
        <f t="array" ref="C341">_xlfn.IFS(LEN(B341) &lt;= 25, "Short", AND(LEN(B341) &gt; 25, LEN(B341) &lt;= 50), "Medium", LEN(B341) &gt; 50, "Long")</f>
        <v>Long</v>
      </c>
      <c r="D341" t="s">
        <v>80</v>
      </c>
      <c r="E341" t="s">
        <v>80</v>
      </c>
      <c r="F341" s="1" t="b">
        <f t="shared" si="14"/>
        <v>1</v>
      </c>
    </row>
    <row r="342" spans="1:6" x14ac:dyDescent="0.3">
      <c r="A342" s="1">
        <v>341</v>
      </c>
      <c r="B342" t="s">
        <v>589</v>
      </c>
      <c r="C342" s="1" t="str" cm="1">
        <f t="array" ref="C342">_xlfn.IFS(LEN(B342) &lt;= 25, "Short", AND(LEN(B342) &gt; 25, LEN(B342) &lt;= 50), "Medium", LEN(B342) &gt; 50, "Long")</f>
        <v>Short</v>
      </c>
      <c r="D342" t="s">
        <v>76</v>
      </c>
      <c r="E342" t="s">
        <v>82</v>
      </c>
      <c r="F342" s="1" t="b">
        <f t="shared" si="14"/>
        <v>0</v>
      </c>
    </row>
    <row r="343" spans="1:6" x14ac:dyDescent="0.3">
      <c r="A343" s="1">
        <v>342</v>
      </c>
      <c r="B343" t="s">
        <v>590</v>
      </c>
      <c r="C343" s="1" t="str" cm="1">
        <f t="array" ref="C343">_xlfn.IFS(LEN(B343) &lt;= 25, "Short", AND(LEN(B343) &gt; 25, LEN(B343) &lt;= 50), "Medium", LEN(B343) &gt; 50, "Long")</f>
        <v>Short</v>
      </c>
      <c r="D343" t="s">
        <v>81</v>
      </c>
      <c r="E343" t="s">
        <v>79</v>
      </c>
      <c r="F343" s="1" t="b">
        <f t="shared" si="14"/>
        <v>0</v>
      </c>
    </row>
    <row r="344" spans="1:6" x14ac:dyDescent="0.3">
      <c r="A344" s="1">
        <v>343</v>
      </c>
      <c r="B344" t="s">
        <v>591</v>
      </c>
      <c r="C344" s="1" t="str" cm="1">
        <f t="array" ref="C344">_xlfn.IFS(LEN(B344) &lt;= 25, "Short", AND(LEN(B344) &gt; 25, LEN(B344) &lt;= 50), "Medium", LEN(B344) &gt; 50, "Long")</f>
        <v>Long</v>
      </c>
      <c r="D344" t="s">
        <v>81</v>
      </c>
      <c r="E344" t="s">
        <v>81</v>
      </c>
      <c r="F344" s="1" t="b">
        <f t="shared" si="14"/>
        <v>1</v>
      </c>
    </row>
    <row r="345" spans="1:6" x14ac:dyDescent="0.3">
      <c r="A345" s="1">
        <v>344</v>
      </c>
      <c r="B345" t="s">
        <v>592</v>
      </c>
      <c r="C345" s="1" t="str" cm="1">
        <f t="array" ref="C345">_xlfn.IFS(LEN(B345) &lt;= 25, "Short", AND(LEN(B345) &gt; 25, LEN(B345) &lt;= 50), "Medium", LEN(B345) &gt; 50, "Long")</f>
        <v>Medium</v>
      </c>
      <c r="D345" t="s">
        <v>77</v>
      </c>
      <c r="E345" t="s">
        <v>79</v>
      </c>
      <c r="F345" s="1" t="b">
        <f t="shared" si="14"/>
        <v>0</v>
      </c>
    </row>
    <row r="346" spans="1:6" x14ac:dyDescent="0.3">
      <c r="A346" s="1">
        <v>345</v>
      </c>
      <c r="B346" t="s">
        <v>593</v>
      </c>
      <c r="C346" s="1" t="str" cm="1">
        <f t="array" ref="C346">_xlfn.IFS(LEN(B346) &lt;= 25, "Short", AND(LEN(B346) &gt; 25, LEN(B346) &lt;= 50), "Medium", LEN(B346) &gt; 50, "Long")</f>
        <v>Long</v>
      </c>
      <c r="D346" t="s">
        <v>81</v>
      </c>
      <c r="E346" t="s">
        <v>82</v>
      </c>
      <c r="F346" s="1" t="b">
        <f t="shared" si="14"/>
        <v>0</v>
      </c>
    </row>
    <row r="347" spans="1:6" x14ac:dyDescent="0.3">
      <c r="A347" s="1">
        <v>346</v>
      </c>
      <c r="B347" t="s">
        <v>594</v>
      </c>
      <c r="C347" s="1" t="str" cm="1">
        <f t="array" ref="C347">_xlfn.IFS(LEN(B347) &lt;= 25, "Short", AND(LEN(B347) &gt; 25, LEN(B347) &lt;= 50), "Medium", LEN(B347) &gt; 50, "Long")</f>
        <v>Long</v>
      </c>
      <c r="D347" t="s">
        <v>81</v>
      </c>
      <c r="E347" t="s">
        <v>82</v>
      </c>
      <c r="F347" s="1" t="b">
        <f t="shared" si="14"/>
        <v>0</v>
      </c>
    </row>
    <row r="348" spans="1:6" x14ac:dyDescent="0.3">
      <c r="A348" s="1">
        <v>347</v>
      </c>
      <c r="B348" t="s">
        <v>595</v>
      </c>
      <c r="C348" s="1" t="str" cm="1">
        <f t="array" ref="C348">_xlfn.IFS(LEN(B348) &lt;= 25, "Short", AND(LEN(B348) &gt; 25, LEN(B348) &lt;= 50), "Medium", LEN(B348) &gt; 50, "Long")</f>
        <v>Short</v>
      </c>
      <c r="D348" t="s">
        <v>77</v>
      </c>
      <c r="E348" t="s">
        <v>80</v>
      </c>
      <c r="F348" s="1" t="b">
        <f t="shared" si="14"/>
        <v>0</v>
      </c>
    </row>
    <row r="349" spans="1:6" x14ac:dyDescent="0.3">
      <c r="A349" s="1">
        <v>348</v>
      </c>
      <c r="B349" t="s">
        <v>596</v>
      </c>
      <c r="C349" s="1" t="str" cm="1">
        <f t="array" ref="C349">_xlfn.IFS(LEN(B349) &lt;= 25, "Short", AND(LEN(B349) &gt; 25, LEN(B349) &lt;= 50), "Medium", LEN(B349) &gt; 50, "Long")</f>
        <v>Long</v>
      </c>
      <c r="D349" t="s">
        <v>81</v>
      </c>
      <c r="E349" t="s">
        <v>242</v>
      </c>
      <c r="F349" s="1" t="b">
        <f t="shared" si="14"/>
        <v>0</v>
      </c>
    </row>
    <row r="350" spans="1:6" x14ac:dyDescent="0.3">
      <c r="A350" s="1">
        <v>349</v>
      </c>
      <c r="B350" t="s">
        <v>597</v>
      </c>
      <c r="C350" s="1" t="str" cm="1">
        <f t="array" ref="C350">_xlfn.IFS(LEN(B350) &lt;= 25, "Short", AND(LEN(B350) &gt; 25, LEN(B350) &lt;= 50), "Medium", LEN(B350) &gt; 50, "Long")</f>
        <v>Long</v>
      </c>
      <c r="D350" t="s">
        <v>76</v>
      </c>
      <c r="E350" t="s">
        <v>76</v>
      </c>
      <c r="F350" s="1" t="b">
        <f t="shared" si="14"/>
        <v>1</v>
      </c>
    </row>
    <row r="351" spans="1:6" x14ac:dyDescent="0.3">
      <c r="A351" s="1">
        <v>350</v>
      </c>
      <c r="B351" t="s">
        <v>598</v>
      </c>
      <c r="C351" s="1" t="str" cm="1">
        <f t="array" ref="C351">_xlfn.IFS(LEN(B351) &lt;= 25, "Short", AND(LEN(B351) &gt; 25, LEN(B351) &lt;= 50), "Medium", LEN(B351) &gt; 50, "Long")</f>
        <v>Long</v>
      </c>
      <c r="D351" t="s">
        <v>81</v>
      </c>
      <c r="E351" t="s">
        <v>82</v>
      </c>
      <c r="F351" s="1" t="b">
        <f t="shared" si="14"/>
        <v>0</v>
      </c>
    </row>
    <row r="352" spans="1:6" x14ac:dyDescent="0.3">
      <c r="A352" s="1">
        <v>351</v>
      </c>
      <c r="B352" t="s">
        <v>599</v>
      </c>
      <c r="C352" s="1" t="str" cm="1">
        <f t="array" ref="C352">_xlfn.IFS(LEN(B352) &lt;= 25, "Short", AND(LEN(B352) &gt; 25, LEN(B352) &lt;= 50), "Medium", LEN(B352) &gt; 50, "Long")</f>
        <v>Long</v>
      </c>
      <c r="D352" t="s">
        <v>81</v>
      </c>
      <c r="E352" t="s">
        <v>80</v>
      </c>
      <c r="F352" s="1" t="b">
        <f t="shared" si="14"/>
        <v>0</v>
      </c>
    </row>
    <row r="353" spans="1:6" x14ac:dyDescent="0.3">
      <c r="A353" s="1">
        <v>352</v>
      </c>
      <c r="B353" t="s">
        <v>600</v>
      </c>
      <c r="C353" s="1" t="str" cm="1">
        <f t="array" ref="C353">_xlfn.IFS(LEN(B353) &lt;= 25, "Short", AND(LEN(B353) &gt; 25, LEN(B353) &lt;= 50), "Medium", LEN(B353) &gt; 50, "Long")</f>
        <v>Medium</v>
      </c>
      <c r="D353" t="s">
        <v>82</v>
      </c>
      <c r="E353" t="s">
        <v>82</v>
      </c>
      <c r="F353" s="1" t="b">
        <f t="shared" si="14"/>
        <v>1</v>
      </c>
    </row>
    <row r="354" spans="1:6" x14ac:dyDescent="0.3">
      <c r="A354" s="1">
        <v>353</v>
      </c>
      <c r="B354" t="s">
        <v>601</v>
      </c>
      <c r="C354" s="1" t="str" cm="1">
        <f t="array" ref="C354">_xlfn.IFS(LEN(B354) &lt;= 25, "Short", AND(LEN(B354) &gt; 25, LEN(B354) &lt;= 50), "Medium", LEN(B354) &gt; 50, "Long")</f>
        <v>Medium</v>
      </c>
      <c r="D354" t="s">
        <v>81</v>
      </c>
      <c r="E354" t="s">
        <v>81</v>
      </c>
      <c r="F354" s="1" t="b">
        <f t="shared" si="14"/>
        <v>1</v>
      </c>
    </row>
    <row r="355" spans="1:6" x14ac:dyDescent="0.3">
      <c r="A355" s="1">
        <v>354</v>
      </c>
      <c r="B355" t="s">
        <v>602</v>
      </c>
      <c r="C355" s="1" t="str" cm="1">
        <f t="array" ref="C355">_xlfn.IFS(LEN(B355) &lt;= 25, "Short", AND(LEN(B355) &gt; 25, LEN(B355) &lt;= 50), "Medium", LEN(B355) &gt; 50, "Long")</f>
        <v>Medium</v>
      </c>
      <c r="D355" t="s">
        <v>77</v>
      </c>
      <c r="E355" t="s">
        <v>82</v>
      </c>
      <c r="F355" s="1" t="b">
        <f t="shared" si="14"/>
        <v>0</v>
      </c>
    </row>
    <row r="356" spans="1:6" x14ac:dyDescent="0.3">
      <c r="A356" s="1">
        <v>355</v>
      </c>
      <c r="B356" t="s">
        <v>603</v>
      </c>
      <c r="C356" s="1" t="str" cm="1">
        <f t="array" ref="C356">_xlfn.IFS(LEN(B356) &lt;= 25, "Short", AND(LEN(B356) &gt; 25, LEN(B356) &lt;= 50), "Medium", LEN(B356) &gt; 50, "Long")</f>
        <v>Long</v>
      </c>
      <c r="D356" t="s">
        <v>79</v>
      </c>
      <c r="E356" t="s">
        <v>82</v>
      </c>
      <c r="F356" s="1" t="b">
        <f t="shared" si="14"/>
        <v>0</v>
      </c>
    </row>
    <row r="357" spans="1:6" x14ac:dyDescent="0.3">
      <c r="A357" s="1">
        <v>356</v>
      </c>
      <c r="B357" t="s">
        <v>604</v>
      </c>
      <c r="C357" s="1" t="str" cm="1">
        <f t="array" ref="C357">_xlfn.IFS(LEN(B357) &lt;= 25, "Short", AND(LEN(B357) &gt; 25, LEN(B357) &lt;= 50), "Medium", LEN(B357) &gt; 50, "Long")</f>
        <v>Short</v>
      </c>
      <c r="D357" t="s">
        <v>76</v>
      </c>
      <c r="E357" t="s">
        <v>76</v>
      </c>
      <c r="F357" s="1" t="b">
        <f t="shared" si="14"/>
        <v>1</v>
      </c>
    </row>
    <row r="358" spans="1:6" x14ac:dyDescent="0.3">
      <c r="A358" s="1">
        <v>357</v>
      </c>
      <c r="B358" t="s">
        <v>605</v>
      </c>
      <c r="C358" s="1" t="str" cm="1">
        <f t="array" ref="C358">_xlfn.IFS(LEN(B358) &lt;= 25, "Short", AND(LEN(B358) &gt; 25, LEN(B358) &lt;= 50), "Medium", LEN(B358) &gt; 50, "Long")</f>
        <v>Long</v>
      </c>
      <c r="D358" t="s">
        <v>80</v>
      </c>
      <c r="E358" t="s">
        <v>80</v>
      </c>
      <c r="F358" s="1" t="b">
        <f t="shared" si="14"/>
        <v>1</v>
      </c>
    </row>
    <row r="359" spans="1:6" x14ac:dyDescent="0.3">
      <c r="A359" s="1">
        <v>358</v>
      </c>
      <c r="B359" t="s">
        <v>606</v>
      </c>
      <c r="C359" s="1" t="str" cm="1">
        <f t="array" ref="C359">_xlfn.IFS(LEN(B359) &lt;= 25, "Short", AND(LEN(B359) &gt; 25, LEN(B359) &lt;= 50), "Medium", LEN(B359) &gt; 50, "Long")</f>
        <v>Long</v>
      </c>
      <c r="D359" t="s">
        <v>81</v>
      </c>
      <c r="E359" t="s">
        <v>81</v>
      </c>
      <c r="F359" s="1" t="b">
        <f t="shared" si="14"/>
        <v>1</v>
      </c>
    </row>
    <row r="360" spans="1:6" x14ac:dyDescent="0.3">
      <c r="A360" s="1">
        <v>359</v>
      </c>
      <c r="B360" t="s">
        <v>607</v>
      </c>
      <c r="C360" s="1" t="str" cm="1">
        <f t="array" ref="C360">_xlfn.IFS(LEN(B360) &lt;= 25, "Short", AND(LEN(B360) &gt; 25, LEN(B360) &lt;= 50), "Medium", LEN(B360) &gt; 50, "Long")</f>
        <v>Short</v>
      </c>
      <c r="D360" t="s">
        <v>81</v>
      </c>
      <c r="E360" t="s">
        <v>79</v>
      </c>
      <c r="F360" s="1" t="b">
        <f t="shared" si="14"/>
        <v>0</v>
      </c>
    </row>
    <row r="361" spans="1:6" x14ac:dyDescent="0.3">
      <c r="A361" s="1">
        <v>360</v>
      </c>
      <c r="B361" t="s">
        <v>608</v>
      </c>
      <c r="C361" s="1" t="str" cm="1">
        <f t="array" ref="C361">_xlfn.IFS(LEN(B361) &lt;= 25, "Short", AND(LEN(B361) &gt; 25, LEN(B361) &lt;= 50), "Medium", LEN(B361) &gt; 50, "Long")</f>
        <v>Long</v>
      </c>
      <c r="D361" t="s">
        <v>81</v>
      </c>
      <c r="E361" t="s">
        <v>81</v>
      </c>
      <c r="F361" s="1" t="b">
        <f t="shared" si="14"/>
        <v>1</v>
      </c>
    </row>
    <row r="362" spans="1:6" x14ac:dyDescent="0.3">
      <c r="A362" s="1">
        <v>361</v>
      </c>
      <c r="B362" t="s">
        <v>609</v>
      </c>
      <c r="C362" s="1" t="str" cm="1">
        <f t="array" ref="C362">_xlfn.IFS(LEN(B362) &lt;= 25, "Short", AND(LEN(B362) &gt; 25, LEN(B362) &lt;= 50), "Medium", LEN(B362) &gt; 50, "Long")</f>
        <v>Medium</v>
      </c>
      <c r="D362" t="s">
        <v>81</v>
      </c>
      <c r="E362" t="s">
        <v>81</v>
      </c>
      <c r="F362" s="1" t="b">
        <f t="shared" si="14"/>
        <v>1</v>
      </c>
    </row>
    <row r="363" spans="1:6" x14ac:dyDescent="0.3">
      <c r="A363" s="1">
        <v>362</v>
      </c>
      <c r="B363" t="s">
        <v>610</v>
      </c>
      <c r="C363" s="1" t="str" cm="1">
        <f t="array" ref="C363">_xlfn.IFS(LEN(B363) &lt;= 25, "Short", AND(LEN(B363) &gt; 25, LEN(B363) &lt;= 50), "Medium", LEN(B363) &gt; 50, "Long")</f>
        <v>Long</v>
      </c>
      <c r="D363" t="s">
        <v>77</v>
      </c>
      <c r="E363" t="s">
        <v>82</v>
      </c>
      <c r="F363" s="1" t="b">
        <f t="shared" si="14"/>
        <v>0</v>
      </c>
    </row>
    <row r="364" spans="1:6" x14ac:dyDescent="0.3">
      <c r="A364" s="1">
        <v>363</v>
      </c>
      <c r="B364" t="s">
        <v>611</v>
      </c>
      <c r="C364" s="1" t="str" cm="1">
        <f t="array" ref="C364">_xlfn.IFS(LEN(B364) &lt;= 25, "Short", AND(LEN(B364) &gt; 25, LEN(B364) &lt;= 50), "Medium", LEN(B364) &gt; 50, "Long")</f>
        <v>Medium</v>
      </c>
      <c r="D364" t="s">
        <v>81</v>
      </c>
      <c r="E364" t="s">
        <v>242</v>
      </c>
      <c r="F364" s="1" t="b">
        <f t="shared" si="14"/>
        <v>0</v>
      </c>
    </row>
    <row r="365" spans="1:6" x14ac:dyDescent="0.3">
      <c r="A365" s="1">
        <v>364</v>
      </c>
      <c r="B365" t="s">
        <v>612</v>
      </c>
      <c r="C365" s="1" t="str" cm="1">
        <f t="array" ref="C365">_xlfn.IFS(LEN(B365) &lt;= 25, "Short", AND(LEN(B365) &gt; 25, LEN(B365) &lt;= 50), "Medium", LEN(B365) &gt; 50, "Long")</f>
        <v>Long</v>
      </c>
      <c r="D365" t="s">
        <v>81</v>
      </c>
      <c r="E365" t="s">
        <v>81</v>
      </c>
      <c r="F365" s="1" t="b">
        <f t="shared" si="14"/>
        <v>1</v>
      </c>
    </row>
    <row r="366" spans="1:6" x14ac:dyDescent="0.3">
      <c r="A366" s="1">
        <v>365</v>
      </c>
      <c r="B366" t="s">
        <v>613</v>
      </c>
      <c r="C366" s="1" t="str" cm="1">
        <f t="array" ref="C366">_xlfn.IFS(LEN(B366) &lt;= 25, "Short", AND(LEN(B366) &gt; 25, LEN(B366) &lt;= 50), "Medium", LEN(B366) &gt; 50, "Long")</f>
        <v>Short</v>
      </c>
      <c r="D366" t="s">
        <v>79</v>
      </c>
      <c r="E366" t="s">
        <v>79</v>
      </c>
      <c r="F366" s="1" t="b">
        <f t="shared" si="14"/>
        <v>1</v>
      </c>
    </row>
    <row r="367" spans="1:6" x14ac:dyDescent="0.3">
      <c r="A367" s="1">
        <v>366</v>
      </c>
      <c r="B367" t="s">
        <v>614</v>
      </c>
      <c r="C367" s="1" t="str" cm="1">
        <f t="array" ref="C367">_xlfn.IFS(LEN(B367) &lt;= 25, "Short", AND(LEN(B367) &gt; 25, LEN(B367) &lt;= 50), "Medium", LEN(B367) &gt; 50, "Long")</f>
        <v>Short</v>
      </c>
      <c r="D367" t="s">
        <v>76</v>
      </c>
      <c r="E367" t="s">
        <v>76</v>
      </c>
      <c r="F367" s="1" t="b">
        <f t="shared" si="14"/>
        <v>1</v>
      </c>
    </row>
    <row r="368" spans="1:6" x14ac:dyDescent="0.3">
      <c r="A368" s="1">
        <v>367</v>
      </c>
      <c r="B368" t="s">
        <v>615</v>
      </c>
      <c r="C368" s="1" t="str" cm="1">
        <f t="array" ref="C368">_xlfn.IFS(LEN(B368) &lt;= 25, "Short", AND(LEN(B368) &gt; 25, LEN(B368) &lt;= 50), "Medium", LEN(B368) &gt; 50, "Long")</f>
        <v>Medium</v>
      </c>
      <c r="D368" t="s">
        <v>77</v>
      </c>
      <c r="E368" t="s">
        <v>80</v>
      </c>
      <c r="F368" s="1" t="b">
        <f t="shared" si="14"/>
        <v>0</v>
      </c>
    </row>
    <row r="369" spans="1:6" x14ac:dyDescent="0.3">
      <c r="A369" s="1">
        <v>368</v>
      </c>
      <c r="B369" t="s">
        <v>616</v>
      </c>
      <c r="C369" s="1" t="str" cm="1">
        <f t="array" ref="C369">_xlfn.IFS(LEN(B369) &lt;= 25, "Short", AND(LEN(B369) &gt; 25, LEN(B369) &lt;= 50), "Medium", LEN(B369) &gt; 50, "Long")</f>
        <v>Long</v>
      </c>
      <c r="D369" t="s">
        <v>77</v>
      </c>
      <c r="E369" t="s">
        <v>81</v>
      </c>
      <c r="F369" s="1" t="b">
        <f t="shared" si="14"/>
        <v>0</v>
      </c>
    </row>
    <row r="370" spans="1:6" x14ac:dyDescent="0.3">
      <c r="A370" s="1">
        <v>369</v>
      </c>
      <c r="B370" t="s">
        <v>617</v>
      </c>
      <c r="C370" s="1" t="str" cm="1">
        <f t="array" ref="C370">_xlfn.IFS(LEN(B370) &lt;= 25, "Short", AND(LEN(B370) &gt; 25, LEN(B370) &lt;= 50), "Medium", LEN(B370) &gt; 50, "Long")</f>
        <v>Medium</v>
      </c>
      <c r="D370" t="s">
        <v>79</v>
      </c>
      <c r="E370" t="s">
        <v>82</v>
      </c>
      <c r="F370" s="1" t="b">
        <f t="shared" si="14"/>
        <v>0</v>
      </c>
    </row>
    <row r="371" spans="1:6" x14ac:dyDescent="0.3">
      <c r="A371" s="1">
        <v>370</v>
      </c>
      <c r="B371" t="s">
        <v>618</v>
      </c>
      <c r="C371" s="1" t="str" cm="1">
        <f t="array" ref="C371">_xlfn.IFS(LEN(B371) &lt;= 25, "Short", AND(LEN(B371) &gt; 25, LEN(B371) &lt;= 50), "Medium", LEN(B371) &gt; 50, "Long")</f>
        <v>Long</v>
      </c>
      <c r="D371" t="s">
        <v>76</v>
      </c>
      <c r="E371" t="s">
        <v>76</v>
      </c>
      <c r="F371" s="1" t="b">
        <f t="shared" si="14"/>
        <v>1</v>
      </c>
    </row>
    <row r="372" spans="1:6" x14ac:dyDescent="0.3">
      <c r="A372" s="1">
        <v>371</v>
      </c>
      <c r="B372" t="s">
        <v>619</v>
      </c>
      <c r="C372" s="1" t="str" cm="1">
        <f t="array" ref="C372">_xlfn.IFS(LEN(B372) &lt;= 25, "Short", AND(LEN(B372) &gt; 25, LEN(B372) &lt;= 50), "Medium", LEN(B372) &gt; 50, "Long")</f>
        <v>Medium</v>
      </c>
      <c r="D372" t="s">
        <v>79</v>
      </c>
      <c r="E372" t="s">
        <v>79</v>
      </c>
      <c r="F372" s="1" t="b">
        <f t="shared" si="14"/>
        <v>1</v>
      </c>
    </row>
    <row r="373" spans="1:6" x14ac:dyDescent="0.3">
      <c r="A373" s="1">
        <v>372</v>
      </c>
      <c r="B373" t="s">
        <v>620</v>
      </c>
      <c r="C373" s="1" t="str" cm="1">
        <f t="array" ref="C373">_xlfn.IFS(LEN(B373) &lt;= 25, "Short", AND(LEN(B373) &gt; 25, LEN(B373) &lt;= 50), "Medium", LEN(B373) &gt; 50, "Long")</f>
        <v>Long</v>
      </c>
      <c r="D373" t="s">
        <v>77</v>
      </c>
      <c r="E373" t="s">
        <v>77</v>
      </c>
      <c r="F373" s="1" t="b">
        <f t="shared" si="14"/>
        <v>1</v>
      </c>
    </row>
    <row r="374" spans="1:6" x14ac:dyDescent="0.3">
      <c r="A374" s="1">
        <v>373</v>
      </c>
      <c r="B374" t="s">
        <v>621</v>
      </c>
      <c r="C374" s="1" t="str" cm="1">
        <f t="array" ref="C374">_xlfn.IFS(LEN(B374) &lt;= 25, "Short", AND(LEN(B374) &gt; 25, LEN(B374) &lt;= 50), "Medium", LEN(B374) &gt; 50, "Long")</f>
        <v>Long</v>
      </c>
      <c r="D374" t="s">
        <v>81</v>
      </c>
      <c r="E374" t="s">
        <v>82</v>
      </c>
      <c r="F374" s="1" t="b">
        <f t="shared" si="14"/>
        <v>0</v>
      </c>
    </row>
    <row r="375" spans="1:6" x14ac:dyDescent="0.3">
      <c r="A375" s="1">
        <v>374</v>
      </c>
      <c r="B375" t="s">
        <v>622</v>
      </c>
      <c r="C375" s="1" t="str" cm="1">
        <f t="array" ref="C375">_xlfn.IFS(LEN(B375) &lt;= 25, "Short", AND(LEN(B375) &gt; 25, LEN(B375) &lt;= 50), "Medium", LEN(B375) &gt; 50, "Long")</f>
        <v>Medium</v>
      </c>
      <c r="D375" t="s">
        <v>81</v>
      </c>
      <c r="E375" t="s">
        <v>82</v>
      </c>
      <c r="F375" s="1" t="b">
        <f t="shared" si="14"/>
        <v>0</v>
      </c>
    </row>
    <row r="376" spans="1:6" x14ac:dyDescent="0.3">
      <c r="A376" s="1">
        <v>375</v>
      </c>
      <c r="B376" t="s">
        <v>623</v>
      </c>
      <c r="C376" s="1" t="str" cm="1">
        <f t="array" ref="C376">_xlfn.IFS(LEN(B376) &lt;= 25, "Short", AND(LEN(B376) &gt; 25, LEN(B376) &lt;= 50), "Medium", LEN(B376) &gt; 50, "Long")</f>
        <v>Short</v>
      </c>
      <c r="D376" t="s">
        <v>242</v>
      </c>
      <c r="E376" t="s">
        <v>242</v>
      </c>
      <c r="F376" s="1" t="b">
        <f t="shared" si="14"/>
        <v>1</v>
      </c>
    </row>
    <row r="377" spans="1:6" x14ac:dyDescent="0.3">
      <c r="A377" s="1">
        <v>376</v>
      </c>
      <c r="B377" t="s">
        <v>624</v>
      </c>
      <c r="C377" s="1" t="str" cm="1">
        <f t="array" ref="C377">_xlfn.IFS(LEN(B377) &lt;= 25, "Short", AND(LEN(B377) &gt; 25, LEN(B377) &lt;= 50), "Medium", LEN(B377) &gt; 50, "Long")</f>
        <v>Long</v>
      </c>
      <c r="D377" t="s">
        <v>77</v>
      </c>
      <c r="E377" t="s">
        <v>77</v>
      </c>
      <c r="F377" s="1" t="b">
        <f t="shared" si="14"/>
        <v>1</v>
      </c>
    </row>
    <row r="378" spans="1:6" x14ac:dyDescent="0.3">
      <c r="A378" s="1">
        <v>377</v>
      </c>
      <c r="B378" t="s">
        <v>625</v>
      </c>
      <c r="C378" s="1" t="str" cm="1">
        <f t="array" ref="C378">_xlfn.IFS(LEN(B378) &lt;= 25, "Short", AND(LEN(B378) &gt; 25, LEN(B378) &lt;= 50), "Medium", LEN(B378) &gt; 50, "Long")</f>
        <v>Long</v>
      </c>
      <c r="D378" t="s">
        <v>80</v>
      </c>
      <c r="E378" t="s">
        <v>77</v>
      </c>
      <c r="F378" s="1" t="b">
        <f t="shared" si="14"/>
        <v>0</v>
      </c>
    </row>
    <row r="379" spans="1:6" x14ac:dyDescent="0.3">
      <c r="A379" s="1">
        <v>378</v>
      </c>
      <c r="B379" t="s">
        <v>626</v>
      </c>
      <c r="C379" s="1" t="str" cm="1">
        <f t="array" ref="C379">_xlfn.IFS(LEN(B379) &lt;= 25, "Short", AND(LEN(B379) &gt; 25, LEN(B379) &lt;= 50), "Medium", LEN(B379) &gt; 50, "Long")</f>
        <v>Medium</v>
      </c>
      <c r="D379" t="s">
        <v>81</v>
      </c>
      <c r="E379" t="s">
        <v>242</v>
      </c>
      <c r="F379" s="1" t="b">
        <f t="shared" si="14"/>
        <v>0</v>
      </c>
    </row>
    <row r="380" spans="1:6" x14ac:dyDescent="0.3">
      <c r="A380" s="1">
        <v>379</v>
      </c>
      <c r="B380" t="s">
        <v>627</v>
      </c>
      <c r="C380" s="1" t="str" cm="1">
        <f t="array" ref="C380">_xlfn.IFS(LEN(B380) &lt;= 25, "Short", AND(LEN(B380) &gt; 25, LEN(B380) &lt;= 50), "Medium", LEN(B380) &gt; 50, "Long")</f>
        <v>Medium</v>
      </c>
      <c r="D380" t="s">
        <v>77</v>
      </c>
      <c r="E380" t="s">
        <v>79</v>
      </c>
      <c r="F380" s="1" t="b">
        <f t="shared" si="14"/>
        <v>0</v>
      </c>
    </row>
    <row r="381" spans="1:6" x14ac:dyDescent="0.3">
      <c r="A381" s="1">
        <v>380</v>
      </c>
      <c r="B381" t="s">
        <v>628</v>
      </c>
      <c r="C381" s="1" t="str" cm="1">
        <f t="array" ref="C381">_xlfn.IFS(LEN(B381) &lt;= 25, "Short", AND(LEN(B381) &gt; 25, LEN(B381) &lt;= 50), "Medium", LEN(B381) &gt; 50, "Long")</f>
        <v>Medium</v>
      </c>
      <c r="D381" t="s">
        <v>79</v>
      </c>
      <c r="E381" t="s">
        <v>80</v>
      </c>
      <c r="F381" s="1" t="b">
        <f t="shared" si="14"/>
        <v>0</v>
      </c>
    </row>
    <row r="382" spans="1:6" x14ac:dyDescent="0.3">
      <c r="A382" s="1">
        <v>381</v>
      </c>
      <c r="B382" t="s">
        <v>629</v>
      </c>
      <c r="C382" s="1" t="str" cm="1">
        <f t="array" ref="C382">_xlfn.IFS(LEN(B382) &lt;= 25, "Short", AND(LEN(B382) &gt; 25, LEN(B382) &lt;= 50), "Medium", LEN(B382) &gt; 50, "Long")</f>
        <v>Long</v>
      </c>
      <c r="D382" t="s">
        <v>81</v>
      </c>
      <c r="E382" t="s">
        <v>81</v>
      </c>
      <c r="F382" s="1" t="b">
        <f t="shared" si="14"/>
        <v>1</v>
      </c>
    </row>
    <row r="383" spans="1:6" x14ac:dyDescent="0.3">
      <c r="A383" s="1">
        <v>382</v>
      </c>
      <c r="B383" t="s">
        <v>630</v>
      </c>
      <c r="C383" s="1" t="str" cm="1">
        <f t="array" ref="C383">_xlfn.IFS(LEN(B383) &lt;= 25, "Short", AND(LEN(B383) &gt; 25, LEN(B383) &lt;= 50), "Medium", LEN(B383) &gt; 50, "Long")</f>
        <v>Medium</v>
      </c>
      <c r="D383" t="s">
        <v>81</v>
      </c>
      <c r="E383" t="s">
        <v>82</v>
      </c>
      <c r="F383" s="1" t="b">
        <f t="shared" si="14"/>
        <v>0</v>
      </c>
    </row>
    <row r="384" spans="1:6" x14ac:dyDescent="0.3">
      <c r="A384" s="1">
        <v>383</v>
      </c>
      <c r="B384" t="s">
        <v>631</v>
      </c>
      <c r="C384" s="1" t="str" cm="1">
        <f t="array" ref="C384">_xlfn.IFS(LEN(B384) &lt;= 25, "Short", AND(LEN(B384) &gt; 25, LEN(B384) &lt;= 50), "Medium", LEN(B384) &gt; 50, "Long")</f>
        <v>Long</v>
      </c>
      <c r="D384" t="s">
        <v>80</v>
      </c>
      <c r="E384" t="s">
        <v>80</v>
      </c>
      <c r="F384" s="1" t="b">
        <f t="shared" si="14"/>
        <v>1</v>
      </c>
    </row>
    <row r="385" spans="1:6" x14ac:dyDescent="0.3">
      <c r="A385" s="1">
        <v>384</v>
      </c>
      <c r="B385" t="s">
        <v>632</v>
      </c>
      <c r="C385" s="1" t="str" cm="1">
        <f t="array" ref="C385">_xlfn.IFS(LEN(B385) &lt;= 25, "Short", AND(LEN(B385) &gt; 25, LEN(B385) &lt;= 50), "Medium", LEN(B385) &gt; 50, "Long")</f>
        <v>Long</v>
      </c>
      <c r="D385" t="s">
        <v>81</v>
      </c>
      <c r="E385" t="s">
        <v>77</v>
      </c>
      <c r="F385" s="1" t="b">
        <f t="shared" si="14"/>
        <v>0</v>
      </c>
    </row>
    <row r="386" spans="1:6" x14ac:dyDescent="0.3">
      <c r="A386" s="1">
        <v>385</v>
      </c>
      <c r="B386" t="s">
        <v>633</v>
      </c>
      <c r="C386" s="1" t="str" cm="1">
        <f t="array" ref="C386">_xlfn.IFS(LEN(B386) &lt;= 25, "Short", AND(LEN(B386) &gt; 25, LEN(B386) &lt;= 50), "Medium", LEN(B386) &gt; 50, "Long")</f>
        <v>Medium</v>
      </c>
      <c r="D386" t="s">
        <v>79</v>
      </c>
      <c r="E386" t="s">
        <v>242</v>
      </c>
      <c r="F386" s="1" t="b">
        <f t="shared" si="14"/>
        <v>0</v>
      </c>
    </row>
    <row r="387" spans="1:6" x14ac:dyDescent="0.3">
      <c r="A387" s="1">
        <v>386</v>
      </c>
      <c r="B387" t="s">
        <v>634</v>
      </c>
      <c r="C387" s="1" t="str" cm="1">
        <f t="array" ref="C387">_xlfn.IFS(LEN(B387) &lt;= 25, "Short", AND(LEN(B387) &gt; 25, LEN(B387) &lt;= 50), "Medium", LEN(B387) &gt; 50, "Long")</f>
        <v>Medium</v>
      </c>
      <c r="D387" t="s">
        <v>79</v>
      </c>
      <c r="E387" t="s">
        <v>79</v>
      </c>
      <c r="F387" s="1" t="b">
        <f t="shared" ref="F387:F450" si="15">IF(D387=E387, TRUE, FALSE)</f>
        <v>1</v>
      </c>
    </row>
    <row r="388" spans="1:6" x14ac:dyDescent="0.3">
      <c r="A388" s="1">
        <v>387</v>
      </c>
      <c r="B388" t="s">
        <v>635</v>
      </c>
      <c r="C388" s="1" t="str" cm="1">
        <f t="array" ref="C388">_xlfn.IFS(LEN(B388) &lt;= 25, "Short", AND(LEN(B388) &gt; 25, LEN(B388) &lt;= 50), "Medium", LEN(B388) &gt; 50, "Long")</f>
        <v>Medium</v>
      </c>
      <c r="D388" t="s">
        <v>81</v>
      </c>
      <c r="E388" t="s">
        <v>81</v>
      </c>
      <c r="F388" s="1" t="b">
        <f t="shared" si="15"/>
        <v>1</v>
      </c>
    </row>
    <row r="389" spans="1:6" x14ac:dyDescent="0.3">
      <c r="A389" s="1">
        <v>388</v>
      </c>
      <c r="B389" t="s">
        <v>636</v>
      </c>
      <c r="C389" s="1" t="str" cm="1">
        <f t="array" ref="C389">_xlfn.IFS(LEN(B389) &lt;= 25, "Short", AND(LEN(B389) &gt; 25, LEN(B389) &lt;= 50), "Medium", LEN(B389) &gt; 50, "Long")</f>
        <v>Medium</v>
      </c>
      <c r="D389" t="s">
        <v>77</v>
      </c>
      <c r="E389" t="s">
        <v>77</v>
      </c>
      <c r="F389" s="1" t="b">
        <f t="shared" si="15"/>
        <v>1</v>
      </c>
    </row>
    <row r="390" spans="1:6" x14ac:dyDescent="0.3">
      <c r="A390" s="1">
        <v>389</v>
      </c>
      <c r="B390" t="s">
        <v>637</v>
      </c>
      <c r="C390" s="1" t="str" cm="1">
        <f t="array" ref="C390">_xlfn.IFS(LEN(B390) &lt;= 25, "Short", AND(LEN(B390) &gt; 25, LEN(B390) &lt;= 50), "Medium", LEN(B390) &gt; 50, "Long")</f>
        <v>Short</v>
      </c>
      <c r="D390" t="s">
        <v>77</v>
      </c>
      <c r="E390" t="s">
        <v>242</v>
      </c>
      <c r="F390" s="1" t="b">
        <f t="shared" si="15"/>
        <v>0</v>
      </c>
    </row>
    <row r="391" spans="1:6" x14ac:dyDescent="0.3">
      <c r="A391" s="1">
        <v>390</v>
      </c>
      <c r="B391" t="s">
        <v>638</v>
      </c>
      <c r="C391" s="1" t="str" cm="1">
        <f t="array" ref="C391">_xlfn.IFS(LEN(B391) &lt;= 25, "Short", AND(LEN(B391) &gt; 25, LEN(B391) &lt;= 50), "Medium", LEN(B391) &gt; 50, "Long")</f>
        <v>Long</v>
      </c>
      <c r="D391" t="s">
        <v>79</v>
      </c>
      <c r="E391" t="s">
        <v>242</v>
      </c>
      <c r="F391" s="1" t="b">
        <f t="shared" si="15"/>
        <v>0</v>
      </c>
    </row>
    <row r="392" spans="1:6" x14ac:dyDescent="0.3">
      <c r="A392" s="1">
        <v>391</v>
      </c>
      <c r="B392" t="s">
        <v>639</v>
      </c>
      <c r="C392" s="1" t="str" cm="1">
        <f t="array" ref="C392">_xlfn.IFS(LEN(B392) &lt;= 25, "Short", AND(LEN(B392) &gt; 25, LEN(B392) &lt;= 50), "Medium", LEN(B392) &gt; 50, "Long")</f>
        <v>Short</v>
      </c>
      <c r="D392" t="s">
        <v>79</v>
      </c>
      <c r="E392" t="s">
        <v>79</v>
      </c>
      <c r="F392" s="1" t="b">
        <f t="shared" si="15"/>
        <v>1</v>
      </c>
    </row>
    <row r="393" spans="1:6" x14ac:dyDescent="0.3">
      <c r="A393" s="1">
        <v>392</v>
      </c>
      <c r="B393" t="s">
        <v>640</v>
      </c>
      <c r="C393" s="1" t="str" cm="1">
        <f t="array" ref="C393">_xlfn.IFS(LEN(B393) &lt;= 25, "Short", AND(LEN(B393) &gt; 25, LEN(B393) &lt;= 50), "Medium", LEN(B393) &gt; 50, "Long")</f>
        <v>Short</v>
      </c>
      <c r="D393" t="s">
        <v>81</v>
      </c>
      <c r="E393" t="s">
        <v>77</v>
      </c>
      <c r="F393" s="1" t="b">
        <f t="shared" si="15"/>
        <v>0</v>
      </c>
    </row>
    <row r="394" spans="1:6" x14ac:dyDescent="0.3">
      <c r="A394" s="1">
        <v>393</v>
      </c>
      <c r="B394" t="s">
        <v>641</v>
      </c>
      <c r="C394" s="1" t="str" cm="1">
        <f t="array" ref="C394">_xlfn.IFS(LEN(B394) &lt;= 25, "Short", AND(LEN(B394) &gt; 25, LEN(B394) &lt;= 50), "Medium", LEN(B394) &gt; 50, "Long")</f>
        <v>Short</v>
      </c>
      <c r="D394" t="s">
        <v>81</v>
      </c>
      <c r="E394" t="s">
        <v>80</v>
      </c>
      <c r="F394" s="1" t="b">
        <f t="shared" si="15"/>
        <v>0</v>
      </c>
    </row>
    <row r="395" spans="1:6" x14ac:dyDescent="0.3">
      <c r="A395" s="1">
        <v>394</v>
      </c>
      <c r="B395" t="s">
        <v>642</v>
      </c>
      <c r="C395" s="1" t="str" cm="1">
        <f t="array" ref="C395">_xlfn.IFS(LEN(B395) &lt;= 25, "Short", AND(LEN(B395) &gt; 25, LEN(B395) &lt;= 50), "Medium", LEN(B395) &gt; 50, "Long")</f>
        <v>Long</v>
      </c>
      <c r="D395" t="s">
        <v>81</v>
      </c>
      <c r="E395" t="s">
        <v>81</v>
      </c>
      <c r="F395" s="1" t="b">
        <f t="shared" si="15"/>
        <v>1</v>
      </c>
    </row>
    <row r="396" spans="1:6" x14ac:dyDescent="0.3">
      <c r="A396" s="1">
        <v>395</v>
      </c>
      <c r="B396" t="s">
        <v>643</v>
      </c>
      <c r="C396" s="1" t="str" cm="1">
        <f t="array" ref="C396">_xlfn.IFS(LEN(B396) &lt;= 25, "Short", AND(LEN(B396) &gt; 25, LEN(B396) &lt;= 50), "Medium", LEN(B396) &gt; 50, "Long")</f>
        <v>Long</v>
      </c>
      <c r="D396" t="s">
        <v>76</v>
      </c>
      <c r="E396" t="s">
        <v>76</v>
      </c>
      <c r="F396" s="1" t="b">
        <f t="shared" si="15"/>
        <v>1</v>
      </c>
    </row>
    <row r="397" spans="1:6" x14ac:dyDescent="0.3">
      <c r="A397" s="1">
        <v>396</v>
      </c>
      <c r="B397" t="s">
        <v>644</v>
      </c>
      <c r="C397" s="1" t="str" cm="1">
        <f t="array" ref="C397">_xlfn.IFS(LEN(B397) &lt;= 25, "Short", AND(LEN(B397) &gt; 25, LEN(B397) &lt;= 50), "Medium", LEN(B397) &gt; 50, "Long")</f>
        <v>Short</v>
      </c>
      <c r="D397" t="s">
        <v>242</v>
      </c>
      <c r="E397" t="s">
        <v>242</v>
      </c>
      <c r="F397" s="1" t="b">
        <f t="shared" si="15"/>
        <v>1</v>
      </c>
    </row>
    <row r="398" spans="1:6" x14ac:dyDescent="0.3">
      <c r="A398" s="1">
        <v>397</v>
      </c>
      <c r="B398" t="s">
        <v>645</v>
      </c>
      <c r="C398" s="1" t="str" cm="1">
        <f t="array" ref="C398">_xlfn.IFS(LEN(B398) &lt;= 25, "Short", AND(LEN(B398) &gt; 25, LEN(B398) &lt;= 50), "Medium", LEN(B398) &gt; 50, "Long")</f>
        <v>Long</v>
      </c>
      <c r="D398" t="s">
        <v>76</v>
      </c>
      <c r="E398" t="s">
        <v>76</v>
      </c>
      <c r="F398" s="1" t="b">
        <f t="shared" si="15"/>
        <v>1</v>
      </c>
    </row>
    <row r="399" spans="1:6" x14ac:dyDescent="0.3">
      <c r="A399" s="1">
        <v>398</v>
      </c>
      <c r="B399" t="s">
        <v>646</v>
      </c>
      <c r="C399" s="1" t="str" cm="1">
        <f t="array" ref="C399">_xlfn.IFS(LEN(B399) &lt;= 25, "Short", AND(LEN(B399) &gt; 25, LEN(B399) &lt;= 50), "Medium", LEN(B399) &gt; 50, "Long")</f>
        <v>Long</v>
      </c>
      <c r="D399" t="s">
        <v>242</v>
      </c>
      <c r="E399" t="s">
        <v>242</v>
      </c>
      <c r="F399" s="1" t="b">
        <f t="shared" si="15"/>
        <v>1</v>
      </c>
    </row>
    <row r="400" spans="1:6" x14ac:dyDescent="0.3">
      <c r="A400" s="1">
        <v>399</v>
      </c>
      <c r="B400" t="s">
        <v>647</v>
      </c>
      <c r="C400" s="1" t="str" cm="1">
        <f t="array" ref="C400">_xlfn.IFS(LEN(B400) &lt;= 25, "Short", AND(LEN(B400) &gt; 25, LEN(B400) &lt;= 50), "Medium", LEN(B400) &gt; 50, "Long")</f>
        <v>Short</v>
      </c>
      <c r="D400" t="s">
        <v>76</v>
      </c>
      <c r="E400" t="s">
        <v>242</v>
      </c>
      <c r="F400" s="1" t="b">
        <f t="shared" si="15"/>
        <v>0</v>
      </c>
    </row>
    <row r="401" spans="1:6" x14ac:dyDescent="0.3">
      <c r="A401" s="1">
        <v>400</v>
      </c>
      <c r="B401" t="s">
        <v>648</v>
      </c>
      <c r="C401" s="1" t="str" cm="1">
        <f t="array" ref="C401">_xlfn.IFS(LEN(B401) &lt;= 25, "Short", AND(LEN(B401) &gt; 25, LEN(B401) &lt;= 50), "Medium", LEN(B401) &gt; 50, "Long")</f>
        <v>Long</v>
      </c>
      <c r="D401" t="s">
        <v>76</v>
      </c>
      <c r="E401" t="s">
        <v>76</v>
      </c>
      <c r="F401" s="1" t="b">
        <f t="shared" si="15"/>
        <v>1</v>
      </c>
    </row>
    <row r="402" spans="1:6" x14ac:dyDescent="0.3">
      <c r="A402" s="1">
        <v>401</v>
      </c>
      <c r="B402" t="s">
        <v>649</v>
      </c>
      <c r="C402" s="1" t="str" cm="1">
        <f t="array" ref="C402">_xlfn.IFS(LEN(B402) &lt;= 25, "Short", AND(LEN(B402) &gt; 25, LEN(B402) &lt;= 50), "Medium", LEN(B402) &gt; 50, "Long")</f>
        <v>Medium</v>
      </c>
      <c r="D402" t="s">
        <v>79</v>
      </c>
      <c r="E402" t="s">
        <v>79</v>
      </c>
      <c r="F402" s="1" t="b">
        <f t="shared" si="15"/>
        <v>1</v>
      </c>
    </row>
    <row r="403" spans="1:6" x14ac:dyDescent="0.3">
      <c r="A403" s="1">
        <v>402</v>
      </c>
      <c r="B403" t="s">
        <v>650</v>
      </c>
      <c r="C403" s="1" t="str" cm="1">
        <f t="array" ref="C403">_xlfn.IFS(LEN(B403) &lt;= 25, "Short", AND(LEN(B403) &gt; 25, LEN(B403) &lt;= 50), "Medium", LEN(B403) &gt; 50, "Long")</f>
        <v>Medium</v>
      </c>
      <c r="D403" t="s">
        <v>81</v>
      </c>
      <c r="E403" t="s">
        <v>82</v>
      </c>
      <c r="F403" s="1" t="b">
        <f t="shared" si="15"/>
        <v>0</v>
      </c>
    </row>
    <row r="404" spans="1:6" x14ac:dyDescent="0.3">
      <c r="A404" s="1">
        <v>403</v>
      </c>
      <c r="B404" t="s">
        <v>651</v>
      </c>
      <c r="C404" s="1" t="str" cm="1">
        <f t="array" ref="C404">_xlfn.IFS(LEN(B404) &lt;= 25, "Short", AND(LEN(B404) &gt; 25, LEN(B404) &lt;= 50), "Medium", LEN(B404) &gt; 50, "Long")</f>
        <v>Long</v>
      </c>
      <c r="D404" t="s">
        <v>77</v>
      </c>
      <c r="E404" t="s">
        <v>80</v>
      </c>
      <c r="F404" s="1" t="b">
        <f t="shared" si="15"/>
        <v>0</v>
      </c>
    </row>
    <row r="405" spans="1:6" x14ac:dyDescent="0.3">
      <c r="A405" s="1">
        <v>404</v>
      </c>
      <c r="B405" t="s">
        <v>652</v>
      </c>
      <c r="C405" s="1" t="str" cm="1">
        <f t="array" ref="C405">_xlfn.IFS(LEN(B405) &lt;= 25, "Short", AND(LEN(B405) &gt; 25, LEN(B405) &lt;= 50), "Medium", LEN(B405) &gt; 50, "Long")</f>
        <v>Medium</v>
      </c>
      <c r="D405" t="s">
        <v>76</v>
      </c>
      <c r="E405" t="s">
        <v>80</v>
      </c>
      <c r="F405" s="1" t="b">
        <f t="shared" si="15"/>
        <v>0</v>
      </c>
    </row>
    <row r="406" spans="1:6" x14ac:dyDescent="0.3">
      <c r="A406" s="1">
        <v>405</v>
      </c>
      <c r="B406" t="s">
        <v>653</v>
      </c>
      <c r="C406" s="1" t="str" cm="1">
        <f t="array" ref="C406">_xlfn.IFS(LEN(B406) &lt;= 25, "Short", AND(LEN(B406) &gt; 25, LEN(B406) &lt;= 50), "Medium", LEN(B406) &gt; 50, "Long")</f>
        <v>Long</v>
      </c>
      <c r="D406" t="s">
        <v>81</v>
      </c>
      <c r="E406" t="s">
        <v>77</v>
      </c>
      <c r="F406" s="1" t="b">
        <f t="shared" si="15"/>
        <v>0</v>
      </c>
    </row>
    <row r="407" spans="1:6" x14ac:dyDescent="0.3">
      <c r="A407" s="1">
        <v>406</v>
      </c>
      <c r="B407" t="s">
        <v>654</v>
      </c>
      <c r="C407" s="1" t="str" cm="1">
        <f t="array" ref="C407">_xlfn.IFS(LEN(B407) &lt;= 25, "Short", AND(LEN(B407) &gt; 25, LEN(B407) &lt;= 50), "Medium", LEN(B407) &gt; 50, "Long")</f>
        <v>Medium</v>
      </c>
      <c r="D407" t="s">
        <v>76</v>
      </c>
      <c r="E407" t="s">
        <v>76</v>
      </c>
      <c r="F407" s="1" t="b">
        <f t="shared" si="15"/>
        <v>1</v>
      </c>
    </row>
    <row r="408" spans="1:6" x14ac:dyDescent="0.3">
      <c r="A408" s="1">
        <v>407</v>
      </c>
      <c r="B408" t="s">
        <v>655</v>
      </c>
      <c r="C408" s="1" t="str" cm="1">
        <f t="array" ref="C408">_xlfn.IFS(LEN(B408) &lt;= 25, "Short", AND(LEN(B408) &gt; 25, LEN(B408) &lt;= 50), "Medium", LEN(B408) &gt; 50, "Long")</f>
        <v>Medium</v>
      </c>
      <c r="D408" t="s">
        <v>77</v>
      </c>
      <c r="E408" t="s">
        <v>81</v>
      </c>
      <c r="F408" s="1" t="b">
        <f t="shared" si="15"/>
        <v>0</v>
      </c>
    </row>
    <row r="409" spans="1:6" x14ac:dyDescent="0.3">
      <c r="A409" s="1">
        <v>408</v>
      </c>
      <c r="B409" t="s">
        <v>656</v>
      </c>
      <c r="C409" s="1" t="str" cm="1">
        <f t="array" ref="C409">_xlfn.IFS(LEN(B409) &lt;= 25, "Short", AND(LEN(B409) &gt; 25, LEN(B409) &lt;= 50), "Medium", LEN(B409) &gt; 50, "Long")</f>
        <v>Medium</v>
      </c>
      <c r="D409" t="s">
        <v>79</v>
      </c>
      <c r="E409" t="s">
        <v>79</v>
      </c>
      <c r="F409" s="1" t="b">
        <f t="shared" si="15"/>
        <v>1</v>
      </c>
    </row>
    <row r="410" spans="1:6" x14ac:dyDescent="0.3">
      <c r="A410" s="1">
        <v>409</v>
      </c>
      <c r="B410" t="s">
        <v>657</v>
      </c>
      <c r="C410" s="1" t="str" cm="1">
        <f t="array" ref="C410">_xlfn.IFS(LEN(B410) &lt;= 25, "Short", AND(LEN(B410) &gt; 25, LEN(B410) &lt;= 50), "Medium", LEN(B410) &gt; 50, "Long")</f>
        <v>Medium</v>
      </c>
      <c r="D410" t="s">
        <v>77</v>
      </c>
      <c r="E410" t="s">
        <v>77</v>
      </c>
      <c r="F410" s="1" t="b">
        <f t="shared" si="15"/>
        <v>1</v>
      </c>
    </row>
    <row r="411" spans="1:6" x14ac:dyDescent="0.3">
      <c r="A411" s="1">
        <v>410</v>
      </c>
      <c r="B411" t="s">
        <v>658</v>
      </c>
      <c r="C411" s="1" t="str" cm="1">
        <f t="array" ref="C411">_xlfn.IFS(LEN(B411) &lt;= 25, "Short", AND(LEN(B411) &gt; 25, LEN(B411) &lt;= 50), "Medium", LEN(B411) &gt; 50, "Long")</f>
        <v>Long</v>
      </c>
      <c r="D411" t="s">
        <v>77</v>
      </c>
      <c r="E411" t="s">
        <v>80</v>
      </c>
      <c r="F411" s="1" t="b">
        <f t="shared" si="15"/>
        <v>0</v>
      </c>
    </row>
    <row r="412" spans="1:6" x14ac:dyDescent="0.3">
      <c r="A412" s="1">
        <v>411</v>
      </c>
      <c r="B412" t="s">
        <v>659</v>
      </c>
      <c r="C412" s="1" t="str" cm="1">
        <f t="array" ref="C412">_xlfn.IFS(LEN(B412) &lt;= 25, "Short", AND(LEN(B412) &gt; 25, LEN(B412) &lt;= 50), "Medium", LEN(B412) &gt; 50, "Long")</f>
        <v>Medium</v>
      </c>
      <c r="D412" t="s">
        <v>79</v>
      </c>
      <c r="E412" t="s">
        <v>77</v>
      </c>
      <c r="F412" s="1" t="b">
        <f t="shared" si="15"/>
        <v>0</v>
      </c>
    </row>
    <row r="413" spans="1:6" x14ac:dyDescent="0.3">
      <c r="A413" s="1">
        <v>412</v>
      </c>
      <c r="B413" t="s">
        <v>660</v>
      </c>
      <c r="C413" s="1" t="str" cm="1">
        <f t="array" ref="C413">_xlfn.IFS(LEN(B413) &lt;= 25, "Short", AND(LEN(B413) &gt; 25, LEN(B413) &lt;= 50), "Medium", LEN(B413) &gt; 50, "Long")</f>
        <v>Long</v>
      </c>
      <c r="D413" t="s">
        <v>77</v>
      </c>
      <c r="E413" t="s">
        <v>77</v>
      </c>
      <c r="F413" s="1" t="b">
        <f t="shared" si="15"/>
        <v>1</v>
      </c>
    </row>
    <row r="414" spans="1:6" x14ac:dyDescent="0.3">
      <c r="A414" s="1">
        <v>413</v>
      </c>
      <c r="B414" t="s">
        <v>661</v>
      </c>
      <c r="C414" s="1" t="str" cm="1">
        <f t="array" ref="C414">_xlfn.IFS(LEN(B414) &lt;= 25, "Short", AND(LEN(B414) &gt; 25, LEN(B414) &lt;= 50), "Medium", LEN(B414) &gt; 50, "Long")</f>
        <v>Long</v>
      </c>
      <c r="D414" t="s">
        <v>81</v>
      </c>
      <c r="E414" t="s">
        <v>81</v>
      </c>
      <c r="F414" s="1" t="b">
        <f t="shared" si="15"/>
        <v>1</v>
      </c>
    </row>
    <row r="415" spans="1:6" x14ac:dyDescent="0.3">
      <c r="A415" s="1">
        <v>414</v>
      </c>
      <c r="B415" t="s">
        <v>662</v>
      </c>
      <c r="C415" s="1" t="str" cm="1">
        <f t="array" ref="C415">_xlfn.IFS(LEN(B415) &lt;= 25, "Short", AND(LEN(B415) &gt; 25, LEN(B415) &lt;= 50), "Medium", LEN(B415) &gt; 50, "Long")</f>
        <v>Long</v>
      </c>
      <c r="D415" t="s">
        <v>81</v>
      </c>
      <c r="E415" t="s">
        <v>81</v>
      </c>
      <c r="F415" s="1" t="b">
        <f t="shared" si="15"/>
        <v>1</v>
      </c>
    </row>
    <row r="416" spans="1:6" x14ac:dyDescent="0.3">
      <c r="A416" s="1">
        <v>415</v>
      </c>
      <c r="B416" t="s">
        <v>663</v>
      </c>
      <c r="C416" s="1" t="str" cm="1">
        <f t="array" ref="C416">_xlfn.IFS(LEN(B416) &lt;= 25, "Short", AND(LEN(B416) &gt; 25, LEN(B416) &lt;= 50), "Medium", LEN(B416) &gt; 50, "Long")</f>
        <v>Long</v>
      </c>
      <c r="D416" t="s">
        <v>81</v>
      </c>
      <c r="E416" t="s">
        <v>242</v>
      </c>
      <c r="F416" s="1" t="b">
        <f t="shared" si="15"/>
        <v>0</v>
      </c>
    </row>
    <row r="417" spans="1:6" x14ac:dyDescent="0.3">
      <c r="A417" s="1">
        <v>416</v>
      </c>
      <c r="B417" t="s">
        <v>664</v>
      </c>
      <c r="C417" s="1" t="str" cm="1">
        <f t="array" ref="C417">_xlfn.IFS(LEN(B417) &lt;= 25, "Short", AND(LEN(B417) &gt; 25, LEN(B417) &lt;= 50), "Medium", LEN(B417) &gt; 50, "Long")</f>
        <v>Long</v>
      </c>
      <c r="D417" t="s">
        <v>242</v>
      </c>
      <c r="E417" t="s">
        <v>242</v>
      </c>
      <c r="F417" s="1" t="b">
        <f t="shared" si="15"/>
        <v>1</v>
      </c>
    </row>
    <row r="418" spans="1:6" x14ac:dyDescent="0.3">
      <c r="A418" s="1">
        <v>417</v>
      </c>
      <c r="B418" t="s">
        <v>665</v>
      </c>
      <c r="C418" s="1" t="str" cm="1">
        <f t="array" ref="C418">_xlfn.IFS(LEN(B418) &lt;= 25, "Short", AND(LEN(B418) &gt; 25, LEN(B418) &lt;= 50), "Medium", LEN(B418) &gt; 50, "Long")</f>
        <v>Long</v>
      </c>
      <c r="D418" t="s">
        <v>79</v>
      </c>
      <c r="E418" t="s">
        <v>77</v>
      </c>
      <c r="F418" s="1" t="b">
        <f t="shared" si="15"/>
        <v>0</v>
      </c>
    </row>
    <row r="419" spans="1:6" x14ac:dyDescent="0.3">
      <c r="A419" s="1">
        <v>418</v>
      </c>
      <c r="B419" t="s">
        <v>666</v>
      </c>
      <c r="C419" s="1" t="str" cm="1">
        <f t="array" ref="C419">_xlfn.IFS(LEN(B419) &lt;= 25, "Short", AND(LEN(B419) &gt; 25, LEN(B419) &lt;= 50), "Medium", LEN(B419) &gt; 50, "Long")</f>
        <v>Short</v>
      </c>
      <c r="D419" t="s">
        <v>77</v>
      </c>
      <c r="E419" t="s">
        <v>77</v>
      </c>
      <c r="F419" s="1" t="b">
        <f t="shared" si="15"/>
        <v>1</v>
      </c>
    </row>
    <row r="420" spans="1:6" x14ac:dyDescent="0.3">
      <c r="A420" s="1">
        <v>419</v>
      </c>
      <c r="B420" t="s">
        <v>667</v>
      </c>
      <c r="C420" s="1" t="str" cm="1">
        <f t="array" ref="C420">_xlfn.IFS(LEN(B420) &lt;= 25, "Short", AND(LEN(B420) &gt; 25, LEN(B420) &lt;= 50), "Medium", LEN(B420) &gt; 50, "Long")</f>
        <v>Long</v>
      </c>
      <c r="D420" t="s">
        <v>77</v>
      </c>
      <c r="E420" t="s">
        <v>77</v>
      </c>
      <c r="F420" s="1" t="b">
        <f t="shared" si="15"/>
        <v>1</v>
      </c>
    </row>
    <row r="421" spans="1:6" x14ac:dyDescent="0.3">
      <c r="A421" s="1">
        <v>420</v>
      </c>
      <c r="B421" t="s">
        <v>668</v>
      </c>
      <c r="C421" s="1" t="str" cm="1">
        <f t="array" ref="C421">_xlfn.IFS(LEN(B421) &lt;= 25, "Short", AND(LEN(B421) &gt; 25, LEN(B421) &lt;= 50), "Medium", LEN(B421) &gt; 50, "Long")</f>
        <v>Short</v>
      </c>
      <c r="D421" t="s">
        <v>79</v>
      </c>
      <c r="E421" t="s">
        <v>81</v>
      </c>
      <c r="F421" s="1" t="b">
        <f t="shared" si="15"/>
        <v>0</v>
      </c>
    </row>
    <row r="422" spans="1:6" x14ac:dyDescent="0.3">
      <c r="A422" s="1">
        <v>421</v>
      </c>
      <c r="B422" t="s">
        <v>669</v>
      </c>
      <c r="C422" s="1" t="str" cm="1">
        <f t="array" ref="C422">_xlfn.IFS(LEN(B422) &lt;= 25, "Short", AND(LEN(B422) &gt; 25, LEN(B422) &lt;= 50), "Medium", LEN(B422) &gt; 50, "Long")</f>
        <v>Long</v>
      </c>
      <c r="D422" t="s">
        <v>81</v>
      </c>
      <c r="E422" t="s">
        <v>81</v>
      </c>
      <c r="F422" s="1" t="b">
        <f t="shared" si="15"/>
        <v>1</v>
      </c>
    </row>
    <row r="423" spans="1:6" x14ac:dyDescent="0.3">
      <c r="A423" s="1">
        <v>422</v>
      </c>
      <c r="B423" t="s">
        <v>670</v>
      </c>
      <c r="C423" s="1" t="str" cm="1">
        <f t="array" ref="C423">_xlfn.IFS(LEN(B423) &lt;= 25, "Short", AND(LEN(B423) &gt; 25, LEN(B423) &lt;= 50), "Medium", LEN(B423) &gt; 50, "Long")</f>
        <v>Long</v>
      </c>
      <c r="D423" t="s">
        <v>76</v>
      </c>
      <c r="E423" t="s">
        <v>76</v>
      </c>
      <c r="F423" s="1" t="b">
        <f t="shared" si="15"/>
        <v>1</v>
      </c>
    </row>
    <row r="424" spans="1:6" x14ac:dyDescent="0.3">
      <c r="A424" s="1">
        <v>423</v>
      </c>
      <c r="B424" t="s">
        <v>671</v>
      </c>
      <c r="C424" s="1" t="str" cm="1">
        <f t="array" ref="C424">_xlfn.IFS(LEN(B424) &lt;= 25, "Short", AND(LEN(B424) &gt; 25, LEN(B424) &lt;= 50), "Medium", LEN(B424) &gt; 50, "Long")</f>
        <v>Short</v>
      </c>
      <c r="D424" t="s">
        <v>79</v>
      </c>
      <c r="E424" t="s">
        <v>79</v>
      </c>
      <c r="F424" s="1" t="b">
        <f t="shared" si="15"/>
        <v>1</v>
      </c>
    </row>
    <row r="425" spans="1:6" x14ac:dyDescent="0.3">
      <c r="A425" s="1">
        <v>424</v>
      </c>
      <c r="B425" t="s">
        <v>672</v>
      </c>
      <c r="C425" s="1" t="str" cm="1">
        <f t="array" ref="C425">_xlfn.IFS(LEN(B425) &lt;= 25, "Short", AND(LEN(B425) &gt; 25, LEN(B425) &lt;= 50), "Medium", LEN(B425) &gt; 50, "Long")</f>
        <v>Long</v>
      </c>
      <c r="D425" t="s">
        <v>81</v>
      </c>
      <c r="E425" t="s">
        <v>81</v>
      </c>
      <c r="F425" s="1" t="b">
        <f t="shared" si="15"/>
        <v>1</v>
      </c>
    </row>
    <row r="426" spans="1:6" x14ac:dyDescent="0.3">
      <c r="A426" s="1">
        <v>425</v>
      </c>
      <c r="B426" t="s">
        <v>673</v>
      </c>
      <c r="C426" s="1" t="str" cm="1">
        <f t="array" ref="C426">_xlfn.IFS(LEN(B426) &lt;= 25, "Short", AND(LEN(B426) &gt; 25, LEN(B426) &lt;= 50), "Medium", LEN(B426) &gt; 50, "Long")</f>
        <v>Long</v>
      </c>
      <c r="D426" t="s">
        <v>77</v>
      </c>
      <c r="E426" t="s">
        <v>242</v>
      </c>
      <c r="F426" s="1" t="b">
        <f t="shared" si="15"/>
        <v>0</v>
      </c>
    </row>
    <row r="427" spans="1:6" x14ac:dyDescent="0.3">
      <c r="A427" s="1">
        <v>426</v>
      </c>
      <c r="B427" t="s">
        <v>674</v>
      </c>
      <c r="C427" s="1" t="str" cm="1">
        <f t="array" ref="C427">_xlfn.IFS(LEN(B427) &lt;= 25, "Short", AND(LEN(B427) &gt; 25, LEN(B427) &lt;= 50), "Medium", LEN(B427) &gt; 50, "Long")</f>
        <v>Long</v>
      </c>
      <c r="D427" t="s">
        <v>81</v>
      </c>
      <c r="E427" t="s">
        <v>77</v>
      </c>
      <c r="F427" s="1" t="b">
        <f t="shared" si="15"/>
        <v>0</v>
      </c>
    </row>
    <row r="428" spans="1:6" x14ac:dyDescent="0.3">
      <c r="A428" s="1">
        <v>427</v>
      </c>
      <c r="B428" t="s">
        <v>675</v>
      </c>
      <c r="C428" s="1" t="str" cm="1">
        <f t="array" ref="C428">_xlfn.IFS(LEN(B428) &lt;= 25, "Short", AND(LEN(B428) &gt; 25, LEN(B428) &lt;= 50), "Medium", LEN(B428) &gt; 50, "Long")</f>
        <v>Medium</v>
      </c>
      <c r="D428" t="s">
        <v>76</v>
      </c>
      <c r="E428" t="s">
        <v>76</v>
      </c>
      <c r="F428" s="1" t="b">
        <f t="shared" si="15"/>
        <v>1</v>
      </c>
    </row>
    <row r="429" spans="1:6" x14ac:dyDescent="0.3">
      <c r="A429" s="1">
        <v>428</v>
      </c>
      <c r="B429" t="s">
        <v>676</v>
      </c>
      <c r="C429" s="1" t="str" cm="1">
        <f t="array" ref="C429">_xlfn.IFS(LEN(B429) &lt;= 25, "Short", AND(LEN(B429) &gt; 25, LEN(B429) &lt;= 50), "Medium", LEN(B429) &gt; 50, "Long")</f>
        <v>Medium</v>
      </c>
      <c r="D429" t="s">
        <v>77</v>
      </c>
      <c r="E429" t="s">
        <v>80</v>
      </c>
      <c r="F429" s="1" t="b">
        <f t="shared" si="15"/>
        <v>0</v>
      </c>
    </row>
    <row r="430" spans="1:6" x14ac:dyDescent="0.3">
      <c r="A430" s="1">
        <v>429</v>
      </c>
      <c r="B430" t="s">
        <v>677</v>
      </c>
      <c r="C430" s="1" t="str" cm="1">
        <f t="array" ref="C430">_xlfn.IFS(LEN(B430) &lt;= 25, "Short", AND(LEN(B430) &gt; 25, LEN(B430) &lt;= 50), "Medium", LEN(B430) &gt; 50, "Long")</f>
        <v>Long</v>
      </c>
      <c r="D430" t="s">
        <v>79</v>
      </c>
      <c r="E430" t="s">
        <v>79</v>
      </c>
      <c r="F430" s="1" t="b">
        <f t="shared" si="15"/>
        <v>1</v>
      </c>
    </row>
    <row r="431" spans="1:6" x14ac:dyDescent="0.3">
      <c r="A431" s="1">
        <v>430</v>
      </c>
      <c r="B431" t="s">
        <v>678</v>
      </c>
      <c r="C431" s="1" t="str" cm="1">
        <f t="array" ref="C431">_xlfn.IFS(LEN(B431) &lt;= 25, "Short", AND(LEN(B431) &gt; 25, LEN(B431) &lt;= 50), "Medium", LEN(B431) &gt; 50, "Long")</f>
        <v>Long</v>
      </c>
      <c r="D431" t="s">
        <v>76</v>
      </c>
      <c r="E431" t="s">
        <v>80</v>
      </c>
      <c r="F431" s="1" t="b">
        <f t="shared" si="15"/>
        <v>0</v>
      </c>
    </row>
    <row r="432" spans="1:6" x14ac:dyDescent="0.3">
      <c r="A432" s="1">
        <v>431</v>
      </c>
      <c r="B432" t="s">
        <v>679</v>
      </c>
      <c r="C432" s="1" t="str" cm="1">
        <f t="array" ref="C432">_xlfn.IFS(LEN(B432) &lt;= 25, "Short", AND(LEN(B432) &gt; 25, LEN(B432) &lt;= 50), "Medium", LEN(B432) &gt; 50, "Long")</f>
        <v>Long</v>
      </c>
      <c r="D432" t="s">
        <v>77</v>
      </c>
      <c r="E432" t="s">
        <v>82</v>
      </c>
      <c r="F432" s="1" t="b">
        <f t="shared" si="15"/>
        <v>0</v>
      </c>
    </row>
    <row r="433" spans="1:6" x14ac:dyDescent="0.3">
      <c r="A433" s="1">
        <v>432</v>
      </c>
      <c r="B433" t="s">
        <v>680</v>
      </c>
      <c r="C433" s="1" t="str" cm="1">
        <f t="array" ref="C433">_xlfn.IFS(LEN(B433) &lt;= 25, "Short", AND(LEN(B433) &gt; 25, LEN(B433) &lt;= 50), "Medium", LEN(B433) &gt; 50, "Long")</f>
        <v>Long</v>
      </c>
      <c r="D433" t="s">
        <v>81</v>
      </c>
      <c r="E433" t="s">
        <v>81</v>
      </c>
      <c r="F433" s="1" t="b">
        <f t="shared" si="15"/>
        <v>1</v>
      </c>
    </row>
    <row r="434" spans="1:6" x14ac:dyDescent="0.3">
      <c r="A434" s="1">
        <v>433</v>
      </c>
      <c r="B434" t="s">
        <v>681</v>
      </c>
      <c r="C434" s="1" t="str" cm="1">
        <f t="array" ref="C434">_xlfn.IFS(LEN(B434) &lt;= 25, "Short", AND(LEN(B434) &gt; 25, LEN(B434) &lt;= 50), "Medium", LEN(B434) &gt; 50, "Long")</f>
        <v>Medium</v>
      </c>
      <c r="D434" t="s">
        <v>81</v>
      </c>
      <c r="E434" t="s">
        <v>77</v>
      </c>
      <c r="F434" s="1" t="b">
        <f t="shared" si="15"/>
        <v>0</v>
      </c>
    </row>
    <row r="435" spans="1:6" x14ac:dyDescent="0.3">
      <c r="A435" s="1">
        <v>434</v>
      </c>
      <c r="B435" t="s">
        <v>682</v>
      </c>
      <c r="C435" s="1" t="str" cm="1">
        <f t="array" ref="C435">_xlfn.IFS(LEN(B435) &lt;= 25, "Short", AND(LEN(B435) &gt; 25, LEN(B435) &lt;= 50), "Medium", LEN(B435) &gt; 50, "Long")</f>
        <v>Medium</v>
      </c>
      <c r="D435" t="s">
        <v>77</v>
      </c>
      <c r="E435" t="s">
        <v>80</v>
      </c>
      <c r="F435" s="1" t="b">
        <f t="shared" si="15"/>
        <v>0</v>
      </c>
    </row>
    <row r="436" spans="1:6" x14ac:dyDescent="0.3">
      <c r="A436" s="1">
        <v>435</v>
      </c>
      <c r="B436" t="s">
        <v>683</v>
      </c>
      <c r="C436" s="1" t="str" cm="1">
        <f t="array" ref="C436">_xlfn.IFS(LEN(B436) &lt;= 25, "Short", AND(LEN(B436) &gt; 25, LEN(B436) &lt;= 50), "Medium", LEN(B436) &gt; 50, "Long")</f>
        <v>Long</v>
      </c>
      <c r="D436" t="s">
        <v>77</v>
      </c>
      <c r="E436" t="s">
        <v>77</v>
      </c>
      <c r="F436" s="1" t="b">
        <f t="shared" si="15"/>
        <v>1</v>
      </c>
    </row>
    <row r="437" spans="1:6" x14ac:dyDescent="0.3">
      <c r="A437" s="1">
        <v>436</v>
      </c>
      <c r="B437" t="s">
        <v>684</v>
      </c>
      <c r="C437" s="1" t="str" cm="1">
        <f t="array" ref="C437">_xlfn.IFS(LEN(B437) &lt;= 25, "Short", AND(LEN(B437) &gt; 25, LEN(B437) &lt;= 50), "Medium", LEN(B437) &gt; 50, "Long")</f>
        <v>Long</v>
      </c>
      <c r="D437" t="s">
        <v>77</v>
      </c>
      <c r="E437" t="s">
        <v>77</v>
      </c>
      <c r="F437" s="1" t="b">
        <f t="shared" si="15"/>
        <v>1</v>
      </c>
    </row>
    <row r="438" spans="1:6" x14ac:dyDescent="0.3">
      <c r="A438" s="1">
        <v>437</v>
      </c>
      <c r="B438" t="s">
        <v>685</v>
      </c>
      <c r="C438" s="1" t="str" cm="1">
        <f t="array" ref="C438">_xlfn.IFS(LEN(B438) &lt;= 25, "Short", AND(LEN(B438) &gt; 25, LEN(B438) &lt;= 50), "Medium", LEN(B438) &gt; 50, "Long")</f>
        <v>Medium</v>
      </c>
      <c r="D438" t="s">
        <v>79</v>
      </c>
      <c r="E438" t="s">
        <v>242</v>
      </c>
      <c r="F438" s="1" t="b">
        <f t="shared" si="15"/>
        <v>0</v>
      </c>
    </row>
    <row r="439" spans="1:6" x14ac:dyDescent="0.3">
      <c r="A439" s="1">
        <v>438</v>
      </c>
      <c r="B439" t="s">
        <v>686</v>
      </c>
      <c r="C439" s="1" t="str" cm="1">
        <f t="array" ref="C439">_xlfn.IFS(LEN(B439) &lt;= 25, "Short", AND(LEN(B439) &gt; 25, LEN(B439) &lt;= 50), "Medium", LEN(B439) &gt; 50, "Long")</f>
        <v>Short</v>
      </c>
      <c r="D439" t="s">
        <v>79</v>
      </c>
      <c r="E439" t="s">
        <v>79</v>
      </c>
      <c r="F439" s="1" t="b">
        <f t="shared" si="15"/>
        <v>1</v>
      </c>
    </row>
    <row r="440" spans="1:6" x14ac:dyDescent="0.3">
      <c r="A440" s="1">
        <v>439</v>
      </c>
      <c r="B440" t="s">
        <v>687</v>
      </c>
      <c r="C440" s="1" t="str" cm="1">
        <f t="array" ref="C440">_xlfn.IFS(LEN(B440) &lt;= 25, "Short", AND(LEN(B440) &gt; 25, LEN(B440) &lt;= 50), "Medium", LEN(B440) &gt; 50, "Long")</f>
        <v>Medium</v>
      </c>
      <c r="D440" t="s">
        <v>81</v>
      </c>
      <c r="E440" t="s">
        <v>81</v>
      </c>
      <c r="F440" s="1" t="b">
        <f t="shared" si="15"/>
        <v>1</v>
      </c>
    </row>
    <row r="441" spans="1:6" x14ac:dyDescent="0.3">
      <c r="A441" s="1">
        <v>440</v>
      </c>
      <c r="B441" t="s">
        <v>688</v>
      </c>
      <c r="C441" s="1" t="str" cm="1">
        <f t="array" ref="C441">_xlfn.IFS(LEN(B441) &lt;= 25, "Short", AND(LEN(B441) &gt; 25, LEN(B441) &lt;= 50), "Medium", LEN(B441) &gt; 50, "Long")</f>
        <v>Medium</v>
      </c>
      <c r="D441" t="s">
        <v>242</v>
      </c>
      <c r="E441" t="s">
        <v>242</v>
      </c>
      <c r="F441" s="1" t="b">
        <f t="shared" si="15"/>
        <v>1</v>
      </c>
    </row>
    <row r="442" spans="1:6" x14ac:dyDescent="0.3">
      <c r="A442" s="1">
        <v>441</v>
      </c>
      <c r="B442" t="s">
        <v>689</v>
      </c>
      <c r="C442" s="1" t="str" cm="1">
        <f t="array" ref="C442">_xlfn.IFS(LEN(B442) &lt;= 25, "Short", AND(LEN(B442) &gt; 25, LEN(B442) &lt;= 50), "Medium", LEN(B442) &gt; 50, "Long")</f>
        <v>Medium</v>
      </c>
      <c r="D442" t="s">
        <v>79</v>
      </c>
      <c r="E442" t="s">
        <v>79</v>
      </c>
      <c r="F442" s="1" t="b">
        <f t="shared" si="15"/>
        <v>1</v>
      </c>
    </row>
    <row r="443" spans="1:6" x14ac:dyDescent="0.3">
      <c r="A443" s="1">
        <v>442</v>
      </c>
      <c r="B443" t="s">
        <v>690</v>
      </c>
      <c r="C443" s="1" t="str" cm="1">
        <f t="array" ref="C443">_xlfn.IFS(LEN(B443) &lt;= 25, "Short", AND(LEN(B443) &gt; 25, LEN(B443) &lt;= 50), "Medium", LEN(B443) &gt; 50, "Long")</f>
        <v>Long</v>
      </c>
      <c r="D443" t="s">
        <v>81</v>
      </c>
      <c r="E443" t="s">
        <v>81</v>
      </c>
      <c r="F443" s="1" t="b">
        <f t="shared" si="15"/>
        <v>1</v>
      </c>
    </row>
    <row r="444" spans="1:6" x14ac:dyDescent="0.3">
      <c r="A444" s="1">
        <v>443</v>
      </c>
      <c r="B444" t="s">
        <v>691</v>
      </c>
      <c r="C444" s="1" t="str" cm="1">
        <f t="array" ref="C444">_xlfn.IFS(LEN(B444) &lt;= 25, "Short", AND(LEN(B444) &gt; 25, LEN(B444) &lt;= 50), "Medium", LEN(B444) &gt; 50, "Long")</f>
        <v>Medium</v>
      </c>
      <c r="D444" t="s">
        <v>77</v>
      </c>
      <c r="E444" t="s">
        <v>82</v>
      </c>
      <c r="F444" s="1" t="b">
        <f t="shared" si="15"/>
        <v>0</v>
      </c>
    </row>
    <row r="445" spans="1:6" x14ac:dyDescent="0.3">
      <c r="A445" s="1">
        <v>444</v>
      </c>
      <c r="B445" t="s">
        <v>692</v>
      </c>
      <c r="C445" s="1" t="str" cm="1">
        <f t="array" ref="C445">_xlfn.IFS(LEN(B445) &lt;= 25, "Short", AND(LEN(B445) &gt; 25, LEN(B445) &lt;= 50), "Medium", LEN(B445) &gt; 50, "Long")</f>
        <v>Short</v>
      </c>
      <c r="D445" t="s">
        <v>77</v>
      </c>
      <c r="E445" t="s">
        <v>77</v>
      </c>
      <c r="F445" s="1" t="b">
        <f t="shared" si="15"/>
        <v>1</v>
      </c>
    </row>
    <row r="446" spans="1:6" x14ac:dyDescent="0.3">
      <c r="A446" s="1">
        <v>445</v>
      </c>
      <c r="B446" t="s">
        <v>693</v>
      </c>
      <c r="C446" s="1" t="str" cm="1">
        <f t="array" ref="C446">_xlfn.IFS(LEN(B446) &lt;= 25, "Short", AND(LEN(B446) &gt; 25, LEN(B446) &lt;= 50), "Medium", LEN(B446) &gt; 50, "Long")</f>
        <v>Long</v>
      </c>
      <c r="D446" t="s">
        <v>80</v>
      </c>
      <c r="E446" t="s">
        <v>80</v>
      </c>
      <c r="F446" s="1" t="b">
        <f t="shared" si="15"/>
        <v>1</v>
      </c>
    </row>
    <row r="447" spans="1:6" x14ac:dyDescent="0.3">
      <c r="A447" s="1">
        <v>446</v>
      </c>
      <c r="B447" t="s">
        <v>694</v>
      </c>
      <c r="C447" s="1" t="str" cm="1">
        <f t="array" ref="C447">_xlfn.IFS(LEN(B447) &lt;= 25, "Short", AND(LEN(B447) &gt; 25, LEN(B447) &lt;= 50), "Medium", LEN(B447) &gt; 50, "Long")</f>
        <v>Long</v>
      </c>
      <c r="D447" t="s">
        <v>81</v>
      </c>
      <c r="E447" t="s">
        <v>242</v>
      </c>
      <c r="F447" s="1" t="b">
        <f t="shared" si="15"/>
        <v>0</v>
      </c>
    </row>
    <row r="448" spans="1:6" x14ac:dyDescent="0.3">
      <c r="A448" s="1">
        <v>447</v>
      </c>
      <c r="B448" t="s">
        <v>695</v>
      </c>
      <c r="C448" s="1" t="str" cm="1">
        <f t="array" ref="C448">_xlfn.IFS(LEN(B448) &lt;= 25, "Short", AND(LEN(B448) &gt; 25, LEN(B448) &lt;= 50), "Medium", LEN(B448) &gt; 50, "Long")</f>
        <v>Long</v>
      </c>
      <c r="D448" t="s">
        <v>81</v>
      </c>
      <c r="E448" t="s">
        <v>79</v>
      </c>
      <c r="F448" s="1" t="b">
        <f t="shared" si="15"/>
        <v>0</v>
      </c>
    </row>
    <row r="449" spans="1:6" x14ac:dyDescent="0.3">
      <c r="A449" s="1">
        <v>448</v>
      </c>
      <c r="B449" t="s">
        <v>696</v>
      </c>
      <c r="C449" s="1" t="str" cm="1">
        <f t="array" ref="C449">_xlfn.IFS(LEN(B449) &lt;= 25, "Short", AND(LEN(B449) &gt; 25, LEN(B449) &lt;= 50), "Medium", LEN(B449) &gt; 50, "Long")</f>
        <v>Short</v>
      </c>
      <c r="D449" t="s">
        <v>242</v>
      </c>
      <c r="E449" t="s">
        <v>242</v>
      </c>
      <c r="F449" s="1" t="b">
        <f t="shared" si="15"/>
        <v>1</v>
      </c>
    </row>
    <row r="450" spans="1:6" x14ac:dyDescent="0.3">
      <c r="A450" s="1">
        <v>449</v>
      </c>
      <c r="B450" t="s">
        <v>697</v>
      </c>
      <c r="C450" s="1" t="str" cm="1">
        <f t="array" ref="C450">_xlfn.IFS(LEN(B450) &lt;= 25, "Short", AND(LEN(B450) &gt; 25, LEN(B450) &lt;= 50), "Medium", LEN(B450) &gt; 50, "Long")</f>
        <v>Short</v>
      </c>
      <c r="D450" t="s">
        <v>242</v>
      </c>
      <c r="E450" t="s">
        <v>79</v>
      </c>
      <c r="F450" s="1" t="b">
        <f t="shared" si="15"/>
        <v>0</v>
      </c>
    </row>
    <row r="451" spans="1:6" x14ac:dyDescent="0.3">
      <c r="A451" s="1">
        <v>450</v>
      </c>
      <c r="B451" t="s">
        <v>698</v>
      </c>
      <c r="C451" s="1" t="str" cm="1">
        <f t="array" ref="C451">_xlfn.IFS(LEN(B451) &lt;= 25, "Short", AND(LEN(B451) &gt; 25, LEN(B451) &lt;= 50), "Medium", LEN(B451) &gt; 50, "Long")</f>
        <v>Medium</v>
      </c>
      <c r="D451" t="s">
        <v>242</v>
      </c>
      <c r="E451" t="s">
        <v>242</v>
      </c>
      <c r="F451" s="1" t="b">
        <f t="shared" ref="F451:F491" si="16">IF(D451=E451, TRUE, FALSE)</f>
        <v>1</v>
      </c>
    </row>
    <row r="452" spans="1:6" x14ac:dyDescent="0.3">
      <c r="A452" s="1">
        <v>451</v>
      </c>
      <c r="B452" t="s">
        <v>699</v>
      </c>
      <c r="C452" s="1" t="str" cm="1">
        <f t="array" ref="C452">_xlfn.IFS(LEN(B452) &lt;= 25, "Short", AND(LEN(B452) &gt; 25, LEN(B452) &lt;= 50), "Medium", LEN(B452) &gt; 50, "Long")</f>
        <v>Long</v>
      </c>
      <c r="D452" t="s">
        <v>81</v>
      </c>
      <c r="E452" t="s">
        <v>80</v>
      </c>
      <c r="F452" s="1" t="b">
        <f t="shared" si="16"/>
        <v>0</v>
      </c>
    </row>
    <row r="453" spans="1:6" x14ac:dyDescent="0.3">
      <c r="A453" s="1">
        <v>452</v>
      </c>
      <c r="B453" t="s">
        <v>700</v>
      </c>
      <c r="C453" s="1" t="str" cm="1">
        <f t="array" ref="C453">_xlfn.IFS(LEN(B453) &lt;= 25, "Short", AND(LEN(B453) &gt; 25, LEN(B453) &lt;= 50), "Medium", LEN(B453) &gt; 50, "Long")</f>
        <v>Long</v>
      </c>
      <c r="D453" t="s">
        <v>81</v>
      </c>
      <c r="E453" t="s">
        <v>79</v>
      </c>
      <c r="F453" s="1" t="b">
        <f t="shared" si="16"/>
        <v>0</v>
      </c>
    </row>
    <row r="454" spans="1:6" x14ac:dyDescent="0.3">
      <c r="A454" s="1">
        <v>453</v>
      </c>
      <c r="B454" t="s">
        <v>701</v>
      </c>
      <c r="C454" s="1" t="str" cm="1">
        <f t="array" ref="C454">_xlfn.IFS(LEN(B454) &lt;= 25, "Short", AND(LEN(B454) &gt; 25, LEN(B454) &lt;= 50), "Medium", LEN(B454) &gt; 50, "Long")</f>
        <v>Short</v>
      </c>
      <c r="D454" t="s">
        <v>80</v>
      </c>
      <c r="E454" t="s">
        <v>80</v>
      </c>
      <c r="F454" s="1" t="b">
        <f t="shared" si="16"/>
        <v>1</v>
      </c>
    </row>
    <row r="455" spans="1:6" x14ac:dyDescent="0.3">
      <c r="A455" s="1">
        <v>454</v>
      </c>
      <c r="B455" t="s">
        <v>702</v>
      </c>
      <c r="C455" s="1" t="str" cm="1">
        <f t="array" ref="C455">_xlfn.IFS(LEN(B455) &lt;= 25, "Short", AND(LEN(B455) &gt; 25, LEN(B455) &lt;= 50), "Medium", LEN(B455) &gt; 50, "Long")</f>
        <v>Long</v>
      </c>
      <c r="D455" t="s">
        <v>76</v>
      </c>
      <c r="E455" t="s">
        <v>82</v>
      </c>
      <c r="F455" s="1" t="b">
        <f t="shared" si="16"/>
        <v>0</v>
      </c>
    </row>
    <row r="456" spans="1:6" x14ac:dyDescent="0.3">
      <c r="A456" s="1">
        <v>455</v>
      </c>
      <c r="B456" t="s">
        <v>703</v>
      </c>
      <c r="C456" s="1" t="str" cm="1">
        <f t="array" ref="C456">_xlfn.IFS(LEN(B456) &lt;= 25, "Short", AND(LEN(B456) &gt; 25, LEN(B456) &lt;= 50), "Medium", LEN(B456) &gt; 50, "Long")</f>
        <v>Medium</v>
      </c>
      <c r="D456" t="s">
        <v>81</v>
      </c>
      <c r="E456" t="s">
        <v>81</v>
      </c>
      <c r="F456" s="1" t="b">
        <f t="shared" si="16"/>
        <v>1</v>
      </c>
    </row>
    <row r="457" spans="1:6" x14ac:dyDescent="0.3">
      <c r="A457" s="1">
        <v>456</v>
      </c>
      <c r="B457" t="s">
        <v>704</v>
      </c>
      <c r="C457" s="1" t="str" cm="1">
        <f t="array" ref="C457">_xlfn.IFS(LEN(B457) &lt;= 25, "Short", AND(LEN(B457) &gt; 25, LEN(B457) &lt;= 50), "Medium", LEN(B457) &gt; 50, "Long")</f>
        <v>Medium</v>
      </c>
      <c r="D457" t="s">
        <v>77</v>
      </c>
      <c r="E457" t="s">
        <v>77</v>
      </c>
      <c r="F457" s="1" t="b">
        <f t="shared" si="16"/>
        <v>1</v>
      </c>
    </row>
    <row r="458" spans="1:6" x14ac:dyDescent="0.3">
      <c r="A458" s="1">
        <v>457</v>
      </c>
      <c r="B458" t="s">
        <v>705</v>
      </c>
      <c r="C458" s="1" t="str" cm="1">
        <f t="array" ref="C458">_xlfn.IFS(LEN(B458) &lt;= 25, "Short", AND(LEN(B458) &gt; 25, LEN(B458) &lt;= 50), "Medium", LEN(B458) &gt; 50, "Long")</f>
        <v>Long</v>
      </c>
      <c r="D458" t="s">
        <v>81</v>
      </c>
      <c r="E458" t="s">
        <v>82</v>
      </c>
      <c r="F458" s="1" t="b">
        <f t="shared" si="16"/>
        <v>0</v>
      </c>
    </row>
    <row r="459" spans="1:6" x14ac:dyDescent="0.3">
      <c r="A459" s="1">
        <v>458</v>
      </c>
      <c r="B459" t="s">
        <v>706</v>
      </c>
      <c r="C459" s="1" t="str" cm="1">
        <f t="array" ref="C459">_xlfn.IFS(LEN(B459) &lt;= 25, "Short", AND(LEN(B459) &gt; 25, LEN(B459) &lt;= 50), "Medium", LEN(B459) &gt; 50, "Long")</f>
        <v>Short</v>
      </c>
      <c r="D459" t="s">
        <v>76</v>
      </c>
      <c r="E459" t="s">
        <v>76</v>
      </c>
      <c r="F459" s="1" t="b">
        <f t="shared" si="16"/>
        <v>1</v>
      </c>
    </row>
    <row r="460" spans="1:6" x14ac:dyDescent="0.3">
      <c r="A460" s="1">
        <v>459</v>
      </c>
      <c r="B460" t="s">
        <v>707</v>
      </c>
      <c r="C460" s="1" t="str" cm="1">
        <f t="array" ref="C460">_xlfn.IFS(LEN(B460) &lt;= 25, "Short", AND(LEN(B460) &gt; 25, LEN(B460) &lt;= 50), "Medium", LEN(B460) &gt; 50, "Long")</f>
        <v>Long</v>
      </c>
      <c r="D460" t="s">
        <v>82</v>
      </c>
      <c r="E460" t="s">
        <v>82</v>
      </c>
      <c r="F460" s="1" t="b">
        <f t="shared" si="16"/>
        <v>1</v>
      </c>
    </row>
    <row r="461" spans="1:6" x14ac:dyDescent="0.3">
      <c r="A461" s="1">
        <v>460</v>
      </c>
      <c r="B461" t="s">
        <v>708</v>
      </c>
      <c r="C461" s="1" t="str" cm="1">
        <f t="array" ref="C461">_xlfn.IFS(LEN(B461) &lt;= 25, "Short", AND(LEN(B461) &gt; 25, LEN(B461) &lt;= 50), "Medium", LEN(B461) &gt; 50, "Long")</f>
        <v>Long</v>
      </c>
      <c r="D461" t="s">
        <v>77</v>
      </c>
      <c r="E461" t="s">
        <v>77</v>
      </c>
      <c r="F461" s="1" t="b">
        <f t="shared" si="16"/>
        <v>1</v>
      </c>
    </row>
    <row r="462" spans="1:6" x14ac:dyDescent="0.3">
      <c r="A462" s="1">
        <v>461</v>
      </c>
      <c r="B462" t="s">
        <v>709</v>
      </c>
      <c r="C462" s="1" t="str" cm="1">
        <f t="array" ref="C462">_xlfn.IFS(LEN(B462) &lt;= 25, "Short", AND(LEN(B462) &gt; 25, LEN(B462) &lt;= 50), "Medium", LEN(B462) &gt; 50, "Long")</f>
        <v>Long</v>
      </c>
      <c r="D462" t="s">
        <v>81</v>
      </c>
      <c r="E462" t="s">
        <v>79</v>
      </c>
      <c r="F462" s="1" t="b">
        <f t="shared" si="16"/>
        <v>0</v>
      </c>
    </row>
    <row r="463" spans="1:6" x14ac:dyDescent="0.3">
      <c r="A463" s="1">
        <v>462</v>
      </c>
      <c r="B463" t="s">
        <v>710</v>
      </c>
      <c r="C463" s="1" t="str" cm="1">
        <f t="array" ref="C463">_xlfn.IFS(LEN(B463) &lt;= 25, "Short", AND(LEN(B463) &gt; 25, LEN(B463) &lt;= 50), "Medium", LEN(B463) &gt; 50, "Long")</f>
        <v>Long</v>
      </c>
      <c r="D463" t="s">
        <v>242</v>
      </c>
      <c r="E463" t="s">
        <v>242</v>
      </c>
      <c r="F463" s="1" t="b">
        <f t="shared" si="16"/>
        <v>1</v>
      </c>
    </row>
    <row r="464" spans="1:6" x14ac:dyDescent="0.3">
      <c r="A464" s="1">
        <v>463</v>
      </c>
      <c r="B464" t="s">
        <v>711</v>
      </c>
      <c r="C464" s="1" t="str" cm="1">
        <f t="array" ref="C464">_xlfn.IFS(LEN(B464) &lt;= 25, "Short", AND(LEN(B464) &gt; 25, LEN(B464) &lt;= 50), "Medium", LEN(B464) &gt; 50, "Long")</f>
        <v>Long</v>
      </c>
      <c r="D464" t="s">
        <v>81</v>
      </c>
      <c r="E464" t="s">
        <v>79</v>
      </c>
      <c r="F464" s="1" t="b">
        <f t="shared" si="16"/>
        <v>0</v>
      </c>
    </row>
    <row r="465" spans="1:6" x14ac:dyDescent="0.3">
      <c r="A465" s="1">
        <v>464</v>
      </c>
      <c r="B465" t="s">
        <v>712</v>
      </c>
      <c r="C465" s="1" t="str" cm="1">
        <f t="array" ref="C465">_xlfn.IFS(LEN(B465) &lt;= 25, "Short", AND(LEN(B465) &gt; 25, LEN(B465) &lt;= 50), "Medium", LEN(B465) &gt; 50, "Long")</f>
        <v>Long</v>
      </c>
      <c r="D465" t="s">
        <v>81</v>
      </c>
      <c r="E465" t="s">
        <v>79</v>
      </c>
      <c r="F465" s="1" t="b">
        <f t="shared" si="16"/>
        <v>0</v>
      </c>
    </row>
    <row r="466" spans="1:6" x14ac:dyDescent="0.3">
      <c r="A466" s="1">
        <v>465</v>
      </c>
      <c r="B466" t="s">
        <v>713</v>
      </c>
      <c r="C466" s="1" t="str" cm="1">
        <f t="array" ref="C466">_xlfn.IFS(LEN(B466) &lt;= 25, "Short", AND(LEN(B466) &gt; 25, LEN(B466) &lt;= 50), "Medium", LEN(B466) &gt; 50, "Long")</f>
        <v>Long</v>
      </c>
      <c r="D466" t="s">
        <v>81</v>
      </c>
      <c r="E466" t="s">
        <v>79</v>
      </c>
      <c r="F466" s="1" t="b">
        <f t="shared" si="16"/>
        <v>0</v>
      </c>
    </row>
    <row r="467" spans="1:6" x14ac:dyDescent="0.3">
      <c r="A467" s="1">
        <v>466</v>
      </c>
      <c r="B467" t="s">
        <v>714</v>
      </c>
      <c r="C467" s="1" t="str" cm="1">
        <f t="array" ref="C467">_xlfn.IFS(LEN(B467) &lt;= 25, "Short", AND(LEN(B467) &gt; 25, LEN(B467) &lt;= 50), "Medium", LEN(B467) &gt; 50, "Long")</f>
        <v>Long</v>
      </c>
      <c r="D467" t="s">
        <v>77</v>
      </c>
      <c r="E467" t="s">
        <v>77</v>
      </c>
      <c r="F467" s="1" t="b">
        <f t="shared" si="16"/>
        <v>1</v>
      </c>
    </row>
    <row r="468" spans="1:6" x14ac:dyDescent="0.3">
      <c r="A468" s="1">
        <v>467</v>
      </c>
      <c r="B468" t="s">
        <v>715</v>
      </c>
      <c r="C468" s="1" t="str" cm="1">
        <f t="array" ref="C468">_xlfn.IFS(LEN(B468) &lt;= 25, "Short", AND(LEN(B468) &gt; 25, LEN(B468) &lt;= 50), "Medium", LEN(B468) &gt; 50, "Long")</f>
        <v>Long</v>
      </c>
      <c r="D468" t="s">
        <v>81</v>
      </c>
      <c r="E468" t="s">
        <v>82</v>
      </c>
      <c r="F468" s="1" t="b">
        <f t="shared" si="16"/>
        <v>0</v>
      </c>
    </row>
    <row r="469" spans="1:6" x14ac:dyDescent="0.3">
      <c r="A469" s="1">
        <v>468</v>
      </c>
      <c r="B469" t="s">
        <v>716</v>
      </c>
      <c r="C469" s="1" t="str" cm="1">
        <f t="array" ref="C469">_xlfn.IFS(LEN(B469) &lt;= 25, "Short", AND(LEN(B469) &gt; 25, LEN(B469) &lt;= 50), "Medium", LEN(B469) &gt; 50, "Long")</f>
        <v>Short</v>
      </c>
      <c r="D469" t="s">
        <v>79</v>
      </c>
      <c r="E469" t="s">
        <v>79</v>
      </c>
      <c r="F469" s="1" t="b">
        <f t="shared" si="16"/>
        <v>1</v>
      </c>
    </row>
    <row r="470" spans="1:6" x14ac:dyDescent="0.3">
      <c r="A470" s="1">
        <v>469</v>
      </c>
      <c r="B470" t="s">
        <v>717</v>
      </c>
      <c r="C470" s="1" t="str" cm="1">
        <f t="array" ref="C470">_xlfn.IFS(LEN(B470) &lt;= 25, "Short", AND(LEN(B470) &gt; 25, LEN(B470) &lt;= 50), "Medium", LEN(B470) &gt; 50, "Long")</f>
        <v>Long</v>
      </c>
      <c r="D470" t="s">
        <v>77</v>
      </c>
      <c r="E470" t="s">
        <v>77</v>
      </c>
      <c r="F470" s="1" t="b">
        <f t="shared" si="16"/>
        <v>1</v>
      </c>
    </row>
    <row r="471" spans="1:6" x14ac:dyDescent="0.3">
      <c r="A471" s="1">
        <v>470</v>
      </c>
      <c r="B471" t="s">
        <v>718</v>
      </c>
      <c r="C471" s="1" t="str" cm="1">
        <f t="array" ref="C471">_xlfn.IFS(LEN(B471) &lt;= 25, "Short", AND(LEN(B471) &gt; 25, LEN(B471) &lt;= 50), "Medium", LEN(B471) &gt; 50, "Long")</f>
        <v>Medium</v>
      </c>
      <c r="D471" t="s">
        <v>242</v>
      </c>
      <c r="E471" t="s">
        <v>79</v>
      </c>
      <c r="F471" s="1" t="b">
        <f t="shared" si="16"/>
        <v>0</v>
      </c>
    </row>
    <row r="472" spans="1:6" x14ac:dyDescent="0.3">
      <c r="A472" s="1">
        <v>471</v>
      </c>
      <c r="B472" t="s">
        <v>719</v>
      </c>
      <c r="C472" s="1" t="str" cm="1">
        <f t="array" ref="C472">_xlfn.IFS(LEN(B472) &lt;= 25, "Short", AND(LEN(B472) &gt; 25, LEN(B472) &lt;= 50), "Medium", LEN(B472) &gt; 50, "Long")</f>
        <v>Long</v>
      </c>
      <c r="D472" t="s">
        <v>81</v>
      </c>
      <c r="E472" t="s">
        <v>80</v>
      </c>
      <c r="F472" s="1" t="b">
        <f t="shared" si="16"/>
        <v>0</v>
      </c>
    </row>
    <row r="473" spans="1:6" x14ac:dyDescent="0.3">
      <c r="A473" s="1">
        <v>472</v>
      </c>
      <c r="B473" t="s">
        <v>720</v>
      </c>
      <c r="C473" s="1" t="str" cm="1">
        <f t="array" ref="C473">_xlfn.IFS(LEN(B473) &lt;= 25, "Short", AND(LEN(B473) &gt; 25, LEN(B473) &lt;= 50), "Medium", LEN(B473) &gt; 50, "Long")</f>
        <v>Long</v>
      </c>
      <c r="D473" t="s">
        <v>76</v>
      </c>
      <c r="E473" t="s">
        <v>76</v>
      </c>
      <c r="F473" s="1" t="b">
        <f t="shared" si="16"/>
        <v>1</v>
      </c>
    </row>
    <row r="474" spans="1:6" x14ac:dyDescent="0.3">
      <c r="A474" s="1">
        <v>473</v>
      </c>
      <c r="B474" t="s">
        <v>721</v>
      </c>
      <c r="C474" s="1" t="str" cm="1">
        <f t="array" ref="C474">_xlfn.IFS(LEN(B474) &lt;= 25, "Short", AND(LEN(B474) &gt; 25, LEN(B474) &lt;= 50), "Medium", LEN(B474) &gt; 50, "Long")</f>
        <v>Long</v>
      </c>
      <c r="D474" t="s">
        <v>77</v>
      </c>
      <c r="E474" t="s">
        <v>77</v>
      </c>
      <c r="F474" s="1" t="b">
        <f t="shared" si="16"/>
        <v>1</v>
      </c>
    </row>
    <row r="475" spans="1:6" x14ac:dyDescent="0.3">
      <c r="A475" s="1">
        <v>474</v>
      </c>
      <c r="B475" t="s">
        <v>722</v>
      </c>
      <c r="C475" s="1" t="str" cm="1">
        <f t="array" ref="C475">_xlfn.IFS(LEN(B475) &lt;= 25, "Short", AND(LEN(B475) &gt; 25, LEN(B475) &lt;= 50), "Medium", LEN(B475) &gt; 50, "Long")</f>
        <v>Long</v>
      </c>
      <c r="D475" t="s">
        <v>81</v>
      </c>
      <c r="E475" t="s">
        <v>82</v>
      </c>
      <c r="F475" s="1" t="b">
        <f t="shared" si="16"/>
        <v>0</v>
      </c>
    </row>
    <row r="476" spans="1:6" x14ac:dyDescent="0.3">
      <c r="A476" s="1">
        <v>475</v>
      </c>
      <c r="B476" t="s">
        <v>723</v>
      </c>
      <c r="C476" s="1" t="str" cm="1">
        <f t="array" ref="C476">_xlfn.IFS(LEN(B476) &lt;= 25, "Short", AND(LEN(B476) &gt; 25, LEN(B476) &lt;= 50), "Medium", LEN(B476) &gt; 50, "Long")</f>
        <v>Medium</v>
      </c>
      <c r="D476" t="s">
        <v>81</v>
      </c>
      <c r="E476" t="s">
        <v>81</v>
      </c>
      <c r="F476" s="1" t="b">
        <f t="shared" si="16"/>
        <v>1</v>
      </c>
    </row>
    <row r="477" spans="1:6" x14ac:dyDescent="0.3">
      <c r="A477" s="1">
        <v>476</v>
      </c>
      <c r="B477" t="s">
        <v>724</v>
      </c>
      <c r="C477" s="1" t="str" cm="1">
        <f t="array" ref="C477">_xlfn.IFS(LEN(B477) &lt;= 25, "Short", AND(LEN(B477) &gt; 25, LEN(B477) &lt;= 50), "Medium", LEN(B477) &gt; 50, "Long")</f>
        <v>Long</v>
      </c>
      <c r="D477" t="s">
        <v>80</v>
      </c>
      <c r="E477" t="s">
        <v>80</v>
      </c>
      <c r="F477" s="1" t="b">
        <f t="shared" si="16"/>
        <v>1</v>
      </c>
    </row>
    <row r="478" spans="1:6" x14ac:dyDescent="0.3">
      <c r="A478" s="1">
        <v>477</v>
      </c>
      <c r="B478" t="s">
        <v>725</v>
      </c>
      <c r="C478" s="1" t="str" cm="1">
        <f t="array" ref="C478">_xlfn.IFS(LEN(B478) &lt;= 25, "Short", AND(LEN(B478) &gt; 25, LEN(B478) &lt;= 50), "Medium", LEN(B478) &gt; 50, "Long")</f>
        <v>Short</v>
      </c>
      <c r="D478" t="s">
        <v>81</v>
      </c>
      <c r="E478" t="s">
        <v>242</v>
      </c>
      <c r="F478" s="1" t="b">
        <f t="shared" si="16"/>
        <v>0</v>
      </c>
    </row>
    <row r="479" spans="1:6" x14ac:dyDescent="0.3">
      <c r="A479" s="1">
        <v>478</v>
      </c>
      <c r="B479" t="s">
        <v>726</v>
      </c>
      <c r="C479" s="1" t="str" cm="1">
        <f t="array" ref="C479">_xlfn.IFS(LEN(B479) &lt;= 25, "Short", AND(LEN(B479) &gt; 25, LEN(B479) &lt;= 50), "Medium", LEN(B479) &gt; 50, "Long")</f>
        <v>Long</v>
      </c>
      <c r="D479" t="s">
        <v>77</v>
      </c>
      <c r="E479" t="s">
        <v>77</v>
      </c>
      <c r="F479" s="1" t="b">
        <f t="shared" si="16"/>
        <v>1</v>
      </c>
    </row>
    <row r="480" spans="1:6" x14ac:dyDescent="0.3">
      <c r="A480" s="1">
        <v>479</v>
      </c>
      <c r="B480" t="s">
        <v>727</v>
      </c>
      <c r="C480" s="1" t="str" cm="1">
        <f t="array" ref="C480">_xlfn.IFS(LEN(B480) &lt;= 25, "Short", AND(LEN(B480) &gt; 25, LEN(B480) &lt;= 50), "Medium", LEN(B480) &gt; 50, "Long")</f>
        <v>Long</v>
      </c>
      <c r="D480" t="s">
        <v>76</v>
      </c>
      <c r="E480" t="s">
        <v>76</v>
      </c>
      <c r="F480" s="1" t="b">
        <f t="shared" si="16"/>
        <v>1</v>
      </c>
    </row>
    <row r="481" spans="1:6" x14ac:dyDescent="0.3">
      <c r="A481" s="1">
        <v>480</v>
      </c>
      <c r="B481" t="s">
        <v>728</v>
      </c>
      <c r="C481" s="1" t="str" cm="1">
        <f t="array" ref="C481">_xlfn.IFS(LEN(B481) &lt;= 25, "Short", AND(LEN(B481) &gt; 25, LEN(B481) &lt;= 50), "Medium", LEN(B481) &gt; 50, "Long")</f>
        <v>Short</v>
      </c>
      <c r="D481" t="s">
        <v>77</v>
      </c>
      <c r="E481" t="s">
        <v>242</v>
      </c>
      <c r="F481" s="1" t="b">
        <f t="shared" si="16"/>
        <v>0</v>
      </c>
    </row>
    <row r="482" spans="1:6" x14ac:dyDescent="0.3">
      <c r="A482" s="1">
        <v>481</v>
      </c>
      <c r="B482" t="s">
        <v>729</v>
      </c>
      <c r="C482" s="1" t="str" cm="1">
        <f t="array" ref="C482">_xlfn.IFS(LEN(B482) &lt;= 25, "Short", AND(LEN(B482) &gt; 25, LEN(B482) &lt;= 50), "Medium", LEN(B482) &gt; 50, "Long")</f>
        <v>Long</v>
      </c>
      <c r="D482" t="s">
        <v>81</v>
      </c>
      <c r="E482" t="s">
        <v>79</v>
      </c>
      <c r="F482" s="1" t="b">
        <f t="shared" si="16"/>
        <v>0</v>
      </c>
    </row>
    <row r="483" spans="1:6" x14ac:dyDescent="0.3">
      <c r="A483" s="1">
        <v>482</v>
      </c>
      <c r="B483" t="s">
        <v>730</v>
      </c>
      <c r="C483" s="1" t="str" cm="1">
        <f t="array" ref="C483">_xlfn.IFS(LEN(B483) &lt;= 25, "Short", AND(LEN(B483) &gt; 25, LEN(B483) &lt;= 50), "Medium", LEN(B483) &gt; 50, "Long")</f>
        <v>Long</v>
      </c>
      <c r="D483" t="s">
        <v>242</v>
      </c>
      <c r="E483" t="s">
        <v>242</v>
      </c>
      <c r="F483" s="1" t="b">
        <f t="shared" si="16"/>
        <v>1</v>
      </c>
    </row>
    <row r="484" spans="1:6" x14ac:dyDescent="0.3">
      <c r="A484" s="1">
        <v>483</v>
      </c>
      <c r="B484" t="s">
        <v>731</v>
      </c>
      <c r="C484" s="1" t="str" cm="1">
        <f t="array" ref="C484">_xlfn.IFS(LEN(B484) &lt;= 25, "Short", AND(LEN(B484) &gt; 25, LEN(B484) &lt;= 50), "Medium", LEN(B484) &gt; 50, "Long")</f>
        <v>Long</v>
      </c>
      <c r="D484" t="s">
        <v>81</v>
      </c>
      <c r="E484" t="s">
        <v>79</v>
      </c>
      <c r="F484" s="1" t="b">
        <f t="shared" si="16"/>
        <v>0</v>
      </c>
    </row>
    <row r="485" spans="1:6" x14ac:dyDescent="0.3">
      <c r="A485" s="1">
        <v>484</v>
      </c>
      <c r="B485" t="s">
        <v>732</v>
      </c>
      <c r="C485" s="1" t="str" cm="1">
        <f t="array" ref="C485">_xlfn.IFS(LEN(B485) &lt;= 25, "Short", AND(LEN(B485) &gt; 25, LEN(B485) &lt;= 50), "Medium", LEN(B485) &gt; 50, "Long")</f>
        <v>Long</v>
      </c>
      <c r="D485" t="s">
        <v>76</v>
      </c>
      <c r="E485" t="s">
        <v>76</v>
      </c>
      <c r="F485" s="1" t="b">
        <f t="shared" si="16"/>
        <v>1</v>
      </c>
    </row>
    <row r="486" spans="1:6" x14ac:dyDescent="0.3">
      <c r="A486" s="1">
        <v>485</v>
      </c>
      <c r="B486" t="s">
        <v>733</v>
      </c>
      <c r="C486" s="1" t="str" cm="1">
        <f t="array" ref="C486">_xlfn.IFS(LEN(B486) &lt;= 25, "Short", AND(LEN(B486) &gt; 25, LEN(B486) &lt;= 50), "Medium", LEN(B486) &gt; 50, "Long")</f>
        <v>Medium</v>
      </c>
      <c r="D486" t="s">
        <v>77</v>
      </c>
      <c r="E486" t="s">
        <v>82</v>
      </c>
      <c r="F486" s="1" t="b">
        <f t="shared" si="16"/>
        <v>0</v>
      </c>
    </row>
    <row r="487" spans="1:6" x14ac:dyDescent="0.3">
      <c r="A487" s="1">
        <v>486</v>
      </c>
      <c r="B487" t="s">
        <v>734</v>
      </c>
      <c r="C487" s="1" t="str" cm="1">
        <f t="array" ref="C487">_xlfn.IFS(LEN(B487) &lt;= 25, "Short", AND(LEN(B487) &gt; 25, LEN(B487) &lt;= 50), "Medium", LEN(B487) &gt; 50, "Long")</f>
        <v>Long</v>
      </c>
      <c r="D487" t="s">
        <v>79</v>
      </c>
      <c r="E487" t="s">
        <v>77</v>
      </c>
      <c r="F487" s="1" t="b">
        <f t="shared" si="16"/>
        <v>0</v>
      </c>
    </row>
    <row r="488" spans="1:6" x14ac:dyDescent="0.3">
      <c r="A488" s="1">
        <v>487</v>
      </c>
      <c r="B488" t="s">
        <v>735</v>
      </c>
      <c r="C488" s="1" t="str" cm="1">
        <f t="array" ref="C488">_xlfn.IFS(LEN(B488) &lt;= 25, "Short", AND(LEN(B488) &gt; 25, LEN(B488) &lt;= 50), "Medium", LEN(B488) &gt; 50, "Long")</f>
        <v>Long</v>
      </c>
      <c r="D488" t="s">
        <v>81</v>
      </c>
      <c r="E488" t="s">
        <v>77</v>
      </c>
      <c r="F488" s="1" t="b">
        <f t="shared" si="16"/>
        <v>0</v>
      </c>
    </row>
    <row r="489" spans="1:6" x14ac:dyDescent="0.3">
      <c r="A489" s="1">
        <v>488</v>
      </c>
      <c r="B489" t="s">
        <v>736</v>
      </c>
      <c r="C489" s="1" t="str" cm="1">
        <f t="array" ref="C489">_xlfn.IFS(LEN(B489) &lt;= 25, "Short", AND(LEN(B489) &gt; 25, LEN(B489) &lt;= 50), "Medium", LEN(B489) &gt; 50, "Long")</f>
        <v>Medium</v>
      </c>
      <c r="D489" t="s">
        <v>81</v>
      </c>
      <c r="E489" t="s">
        <v>77</v>
      </c>
      <c r="F489" s="1" t="b">
        <f t="shared" si="16"/>
        <v>0</v>
      </c>
    </row>
    <row r="490" spans="1:6" x14ac:dyDescent="0.3">
      <c r="A490" s="1">
        <v>489</v>
      </c>
      <c r="B490" t="s">
        <v>737</v>
      </c>
      <c r="C490" s="1" t="str" cm="1">
        <f t="array" ref="C490">_xlfn.IFS(LEN(B490) &lt;= 25, "Short", AND(LEN(B490) &gt; 25, LEN(B490) &lt;= 50), "Medium", LEN(B490) &gt; 50, "Long")</f>
        <v>Medium</v>
      </c>
      <c r="D490" t="s">
        <v>81</v>
      </c>
      <c r="E490" t="s">
        <v>242</v>
      </c>
      <c r="F490" s="1" t="b">
        <f t="shared" si="16"/>
        <v>0</v>
      </c>
    </row>
    <row r="491" spans="1:6" x14ac:dyDescent="0.3">
      <c r="A491" s="1">
        <v>490</v>
      </c>
      <c r="B491" t="s">
        <v>738</v>
      </c>
      <c r="C491" s="1" t="str" cm="1">
        <f t="array" ref="C491">_xlfn.IFS(LEN(B491) &lt;= 25, "Short", AND(LEN(B491) &gt; 25, LEN(B491) &lt;= 50), "Medium", LEN(B491) &gt; 50, "Long")</f>
        <v>Long</v>
      </c>
      <c r="D491" t="s">
        <v>82</v>
      </c>
      <c r="E491" t="s">
        <v>82</v>
      </c>
      <c r="F491" s="1" t="b">
        <f t="shared" si="16"/>
        <v>1</v>
      </c>
    </row>
    <row r="492" spans="1:6" x14ac:dyDescent="0.3">
      <c r="A492" s="1"/>
    </row>
  </sheetData>
  <autoFilter ref="E1:E211" xr:uid="{4ACE5D09-267F-42B2-9FA7-7C4D20F22CCE}"/>
  <mergeCells count="2">
    <mergeCell ref="H4:K4"/>
    <mergeCell ref="H19:I19"/>
  </mergeCells>
  <pageMargins left="0.7" right="0.7" top="0.75" bottom="0.75" header="0.3" footer="0.3"/>
  <ignoredErrors>
    <ignoredError sqref="C486"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A8EA-EA86-4B17-A8EB-515ECC7C9111}">
  <dimension ref="A1:P6"/>
  <sheetViews>
    <sheetView tabSelected="1" workbookViewId="0">
      <selection activeCell="U5" sqref="U5"/>
    </sheetView>
  </sheetViews>
  <sheetFormatPr defaultRowHeight="14.4" x14ac:dyDescent="0.3"/>
  <sheetData>
    <row r="1" spans="1:16" ht="29.4" thickBot="1" x14ac:dyDescent="0.35">
      <c r="A1" s="7"/>
      <c r="B1" s="12" t="s">
        <v>746</v>
      </c>
      <c r="C1" s="12" t="s">
        <v>747</v>
      </c>
      <c r="D1" s="12" t="s">
        <v>748</v>
      </c>
      <c r="E1" s="12" t="s">
        <v>749</v>
      </c>
      <c r="F1" s="12" t="s">
        <v>750</v>
      </c>
      <c r="G1" s="12" t="s">
        <v>751</v>
      </c>
      <c r="H1" s="12" t="s">
        <v>752</v>
      </c>
      <c r="I1" s="12" t="s">
        <v>753</v>
      </c>
      <c r="J1" s="12" t="s">
        <v>754</v>
      </c>
      <c r="K1" s="12" t="s">
        <v>755</v>
      </c>
      <c r="M1" s="14" t="s">
        <v>756</v>
      </c>
      <c r="N1" s="14" t="s">
        <v>757</v>
      </c>
      <c r="O1" s="14" t="s">
        <v>758</v>
      </c>
      <c r="P1" s="14" t="s">
        <v>759</v>
      </c>
    </row>
    <row r="2" spans="1:16" ht="15" thickBot="1" x14ac:dyDescent="0.35">
      <c r="A2" s="8" t="s">
        <v>742</v>
      </c>
      <c r="B2" s="8" t="s">
        <v>743</v>
      </c>
      <c r="C2" s="8" t="s">
        <v>744</v>
      </c>
      <c r="D2" s="8" t="s">
        <v>743</v>
      </c>
      <c r="E2" s="8" t="s">
        <v>744</v>
      </c>
      <c r="F2" s="8" t="s">
        <v>743</v>
      </c>
      <c r="G2" s="8" t="s">
        <v>744</v>
      </c>
      <c r="H2" s="8" t="s">
        <v>743</v>
      </c>
      <c r="I2" s="8" t="s">
        <v>744</v>
      </c>
      <c r="J2" s="8" t="s">
        <v>743</v>
      </c>
      <c r="K2" s="8" t="s">
        <v>744</v>
      </c>
      <c r="M2" s="15">
        <v>0.53673469387755102</v>
      </c>
      <c r="N2" s="16">
        <v>0.52244897959183678</v>
      </c>
      <c r="O2" s="15">
        <v>0.51632653061224487</v>
      </c>
      <c r="P2" s="16">
        <v>0.51224489795918371</v>
      </c>
    </row>
    <row r="3" spans="1:16" ht="15" thickBot="1" x14ac:dyDescent="0.35">
      <c r="A3" s="8">
        <v>1</v>
      </c>
      <c r="B3" s="9">
        <v>0.2571</v>
      </c>
      <c r="C3" s="9">
        <v>0.3286</v>
      </c>
      <c r="D3" s="10">
        <v>0.77139999999999997</v>
      </c>
      <c r="E3" s="10">
        <v>0.81430000000000002</v>
      </c>
      <c r="F3" s="10">
        <v>0.35709999999999997</v>
      </c>
      <c r="G3" s="10">
        <v>0.48570000000000002</v>
      </c>
      <c r="H3" s="10">
        <v>0.55710000000000004</v>
      </c>
      <c r="I3" s="10">
        <v>0.72860000000000003</v>
      </c>
      <c r="J3" s="10">
        <v>0.37140000000000001</v>
      </c>
      <c r="K3" s="10">
        <v>0.5857</v>
      </c>
    </row>
    <row r="4" spans="1:16" ht="15" thickBot="1" x14ac:dyDescent="0.35">
      <c r="A4" s="8">
        <v>2</v>
      </c>
      <c r="B4" s="9">
        <v>0.39290000000000003</v>
      </c>
      <c r="C4" s="9">
        <v>0.40710000000000002</v>
      </c>
      <c r="D4" s="10">
        <v>0.72860000000000003</v>
      </c>
      <c r="E4" s="10">
        <v>0.78569999999999995</v>
      </c>
      <c r="F4" s="10">
        <v>0.38569999999999999</v>
      </c>
      <c r="G4" s="10">
        <v>0.29289999999999999</v>
      </c>
      <c r="H4" s="10">
        <v>0.6</v>
      </c>
      <c r="I4" s="11">
        <v>0.7</v>
      </c>
      <c r="J4" s="11">
        <v>0.45</v>
      </c>
      <c r="K4" s="10">
        <v>0.47139999999999999</v>
      </c>
    </row>
    <row r="5" spans="1:16" ht="15" thickBot="1" x14ac:dyDescent="0.35">
      <c r="A5" s="8">
        <v>3</v>
      </c>
      <c r="B5" s="9">
        <v>0.61429999999999996</v>
      </c>
      <c r="C5" s="9">
        <v>0.20949999999999999</v>
      </c>
      <c r="D5" s="10">
        <v>0.7238</v>
      </c>
      <c r="E5" s="10">
        <v>0.76670000000000005</v>
      </c>
      <c r="F5" s="10">
        <v>0.34760000000000002</v>
      </c>
      <c r="G5" s="10">
        <v>0.33329999999999999</v>
      </c>
      <c r="H5" s="10">
        <v>0.56669999999999998</v>
      </c>
      <c r="I5" s="10">
        <v>0.57140000000000002</v>
      </c>
      <c r="J5" s="10">
        <v>0.40479999999999999</v>
      </c>
      <c r="K5" s="10">
        <v>0.45240000000000002</v>
      </c>
    </row>
    <row r="6" spans="1:16" ht="15" thickBot="1" x14ac:dyDescent="0.35">
      <c r="A6" s="8" t="s">
        <v>745</v>
      </c>
      <c r="B6" s="10">
        <v>0.4214</v>
      </c>
      <c r="C6" s="10">
        <v>0.31509999999999999</v>
      </c>
      <c r="D6" s="10">
        <v>0.74129999999999996</v>
      </c>
      <c r="E6" s="10">
        <v>0.78890000000000005</v>
      </c>
      <c r="F6" s="10">
        <v>0.36349999999999999</v>
      </c>
      <c r="G6" s="10">
        <v>0.37059999999999998</v>
      </c>
      <c r="H6" s="10">
        <v>0.5746</v>
      </c>
      <c r="I6" s="10">
        <v>0.66669999999999996</v>
      </c>
      <c r="J6" s="10">
        <v>0.40870000000000001</v>
      </c>
      <c r="K6" s="10">
        <v>0.50319999999999998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88F8-24AF-4B87-A0D3-A52B2D8CC2E4}">
  <dimension ref="A1:L210"/>
  <sheetViews>
    <sheetView topLeftCell="C1" zoomScale="85" zoomScaleNormal="85" workbookViewId="0">
      <selection activeCell="C4" sqref="C4"/>
    </sheetView>
  </sheetViews>
  <sheetFormatPr defaultRowHeight="14.4" x14ac:dyDescent="0.3"/>
  <cols>
    <col min="1" max="1" width="8.6640625" bestFit="1" customWidth="1"/>
    <col min="2" max="2" width="8.44140625" bestFit="1" customWidth="1"/>
    <col min="3" max="3" width="151.109375" bestFit="1" customWidth="1"/>
    <col min="4" max="4" width="15" style="1" bestFit="1" customWidth="1"/>
    <col min="5" max="5" width="9.109375" bestFit="1" customWidth="1"/>
    <col min="6" max="6" width="13.6640625" bestFit="1" customWidth="1"/>
    <col min="7" max="7" width="10.44140625" bestFit="1" customWidth="1"/>
    <col min="9" max="9" width="16.88671875" bestFit="1" customWidth="1"/>
    <col min="10" max="10" width="11.6640625" bestFit="1" customWidth="1"/>
    <col min="11" max="11" width="14.109375" bestFit="1" customWidth="1"/>
    <col min="12" max="12" width="21" bestFit="1" customWidth="1"/>
  </cols>
  <sheetData>
    <row r="1" spans="1:12" x14ac:dyDescent="0.3">
      <c r="A1" s="1" t="s">
        <v>223</v>
      </c>
      <c r="B1" s="1" t="s">
        <v>224</v>
      </c>
      <c r="C1" s="2" t="s">
        <v>74</v>
      </c>
      <c r="D1" s="2" t="s">
        <v>235</v>
      </c>
      <c r="E1" s="1" t="s">
        <v>2</v>
      </c>
      <c r="F1" s="2" t="s">
        <v>1</v>
      </c>
      <c r="G1" s="1" t="s">
        <v>3</v>
      </c>
      <c r="I1" s="1" t="s">
        <v>225</v>
      </c>
      <c r="J1" s="1" t="s">
        <v>226</v>
      </c>
      <c r="K1" s="1" t="s">
        <v>227</v>
      </c>
    </row>
    <row r="2" spans="1:12" x14ac:dyDescent="0.3">
      <c r="A2" s="1">
        <v>1</v>
      </c>
      <c r="B2" s="1">
        <v>1</v>
      </c>
      <c r="C2" s="1" t="s">
        <v>4</v>
      </c>
      <c r="D2" s="1">
        <f>LEN(C2)</f>
        <v>39</v>
      </c>
      <c r="E2" s="1" t="s">
        <v>76</v>
      </c>
      <c r="F2" s="1" t="s">
        <v>78</v>
      </c>
      <c r="G2" s="1">
        <f t="shared" ref="G2:G65" si="0">IF(E2=F2, 1, 0)</f>
        <v>0</v>
      </c>
      <c r="I2" s="1">
        <f>COUNTA(C2:C210)</f>
        <v>209</v>
      </c>
      <c r="J2" s="1">
        <f>COUNTIF(G2:G210, 1)</f>
        <v>110</v>
      </c>
      <c r="K2" s="4">
        <f>J2/I2</f>
        <v>0.52631578947368418</v>
      </c>
    </row>
    <row r="3" spans="1:12" x14ac:dyDescent="0.3">
      <c r="A3" s="1">
        <v>2</v>
      </c>
      <c r="B3" s="1">
        <v>2</v>
      </c>
      <c r="C3" s="1" t="s">
        <v>5</v>
      </c>
      <c r="D3" s="1">
        <f t="shared" ref="D3:D66" si="1">LEN(C3)</f>
        <v>15</v>
      </c>
      <c r="E3" s="1" t="s">
        <v>77</v>
      </c>
      <c r="F3" s="1" t="s">
        <v>80</v>
      </c>
      <c r="G3" s="1">
        <f t="shared" si="0"/>
        <v>0</v>
      </c>
    </row>
    <row r="4" spans="1:12" x14ac:dyDescent="0.3">
      <c r="A4" s="1">
        <v>3</v>
      </c>
      <c r="B4" s="1">
        <v>3</v>
      </c>
      <c r="C4" s="1" t="s">
        <v>6</v>
      </c>
      <c r="D4" s="1">
        <f t="shared" si="1"/>
        <v>9</v>
      </c>
      <c r="E4" s="1" t="s">
        <v>76</v>
      </c>
      <c r="F4" s="1" t="s">
        <v>82</v>
      </c>
      <c r="G4" s="1">
        <f t="shared" si="0"/>
        <v>0</v>
      </c>
      <c r="I4" s="13" t="s">
        <v>228</v>
      </c>
      <c r="J4" s="13"/>
      <c r="K4" s="13"/>
      <c r="L4" s="13"/>
    </row>
    <row r="5" spans="1:12" x14ac:dyDescent="0.3">
      <c r="A5" s="1">
        <v>4</v>
      </c>
      <c r="B5" s="1">
        <v>4</v>
      </c>
      <c r="C5" s="1" t="s">
        <v>7</v>
      </c>
      <c r="D5" s="1">
        <f t="shared" si="1"/>
        <v>17</v>
      </c>
      <c r="E5" s="1" t="s">
        <v>76</v>
      </c>
      <c r="F5" s="1" t="s">
        <v>80</v>
      </c>
      <c r="G5" s="1">
        <f t="shared" si="0"/>
        <v>0</v>
      </c>
      <c r="I5" s="1" t="s">
        <v>0</v>
      </c>
      <c r="J5" s="1" t="s">
        <v>229</v>
      </c>
      <c r="K5" s="1" t="s">
        <v>230</v>
      </c>
      <c r="L5" s="1" t="s">
        <v>83</v>
      </c>
    </row>
    <row r="6" spans="1:12" x14ac:dyDescent="0.3">
      <c r="A6" s="1">
        <v>5</v>
      </c>
      <c r="B6" s="1">
        <v>5</v>
      </c>
      <c r="C6" s="1" t="s">
        <v>8</v>
      </c>
      <c r="D6" s="1">
        <f t="shared" si="1"/>
        <v>10</v>
      </c>
      <c r="E6" s="1" t="s">
        <v>77</v>
      </c>
      <c r="F6" s="1" t="s">
        <v>80</v>
      </c>
      <c r="G6" s="1">
        <f t="shared" si="0"/>
        <v>0</v>
      </c>
      <c r="I6" s="1" t="s">
        <v>78</v>
      </c>
      <c r="J6" s="1">
        <f>COUNTIF($F$2:$F$210,I6)</f>
        <v>30</v>
      </c>
      <c r="K6" s="1">
        <f>COUNTIFS($F$2:$F$211, I6, $E$2:$E$211, I6)</f>
        <v>20</v>
      </c>
      <c r="L6" s="3">
        <f>K6/J6</f>
        <v>0.66666666666666663</v>
      </c>
    </row>
    <row r="7" spans="1:12" x14ac:dyDescent="0.3">
      <c r="A7" s="1">
        <v>6</v>
      </c>
      <c r="B7" s="1">
        <v>6</v>
      </c>
      <c r="C7" s="1" t="s">
        <v>9</v>
      </c>
      <c r="D7" s="1">
        <f t="shared" si="1"/>
        <v>38</v>
      </c>
      <c r="E7" s="1" t="s">
        <v>78</v>
      </c>
      <c r="F7" s="1" t="s">
        <v>78</v>
      </c>
      <c r="G7" s="1">
        <f t="shared" si="0"/>
        <v>1</v>
      </c>
      <c r="I7" s="1" t="s">
        <v>81</v>
      </c>
      <c r="J7" s="1">
        <f t="shared" ref="J7:J12" si="2">COUNTIF($F$2:$F$210,I7)</f>
        <v>30</v>
      </c>
      <c r="K7" s="1">
        <f t="shared" ref="K7:K12" si="3">COUNTIFS($F$2:$F$211, I7, $E$2:$E$211, I7)</f>
        <v>18</v>
      </c>
      <c r="L7" s="3">
        <f t="shared" ref="L7:L12" si="4">K7/J7</f>
        <v>0.6</v>
      </c>
    </row>
    <row r="8" spans="1:12" x14ac:dyDescent="0.3">
      <c r="A8" s="1">
        <v>7</v>
      </c>
      <c r="B8" s="1">
        <v>7</v>
      </c>
      <c r="C8" s="1" t="s">
        <v>10</v>
      </c>
      <c r="D8" s="1">
        <f t="shared" si="1"/>
        <v>23</v>
      </c>
      <c r="E8" s="1" t="s">
        <v>77</v>
      </c>
      <c r="F8" s="1" t="s">
        <v>77</v>
      </c>
      <c r="G8" s="1">
        <f t="shared" si="0"/>
        <v>1</v>
      </c>
      <c r="I8" s="1" t="s">
        <v>79</v>
      </c>
      <c r="J8" s="1">
        <f t="shared" si="2"/>
        <v>30</v>
      </c>
      <c r="K8" s="1">
        <f t="shared" si="3"/>
        <v>17</v>
      </c>
      <c r="L8" s="3">
        <f t="shared" si="4"/>
        <v>0.56666666666666665</v>
      </c>
    </row>
    <row r="9" spans="1:12" x14ac:dyDescent="0.3">
      <c r="A9" s="1">
        <v>8</v>
      </c>
      <c r="B9" s="1">
        <v>8</v>
      </c>
      <c r="C9" s="1" t="s">
        <v>11</v>
      </c>
      <c r="D9" s="1">
        <f t="shared" si="1"/>
        <v>37</v>
      </c>
      <c r="E9" s="1" t="s">
        <v>76</v>
      </c>
      <c r="F9" s="1" t="s">
        <v>76</v>
      </c>
      <c r="G9" s="1">
        <f t="shared" si="0"/>
        <v>1</v>
      </c>
      <c r="I9" s="1" t="s">
        <v>77</v>
      </c>
      <c r="J9" s="1">
        <f t="shared" si="2"/>
        <v>30</v>
      </c>
      <c r="K9" s="1">
        <f t="shared" si="3"/>
        <v>14</v>
      </c>
      <c r="L9" s="3">
        <f t="shared" si="4"/>
        <v>0.46666666666666667</v>
      </c>
    </row>
    <row r="10" spans="1:12" x14ac:dyDescent="0.3">
      <c r="A10" s="1">
        <v>9</v>
      </c>
      <c r="B10" s="1">
        <v>9</v>
      </c>
      <c r="C10" s="1" t="s">
        <v>12</v>
      </c>
      <c r="D10" s="1">
        <f t="shared" si="1"/>
        <v>13</v>
      </c>
      <c r="E10" s="1" t="s">
        <v>76</v>
      </c>
      <c r="F10" s="1" t="s">
        <v>80</v>
      </c>
      <c r="G10" s="1">
        <f t="shared" si="0"/>
        <v>0</v>
      </c>
      <c r="I10" s="1" t="s">
        <v>82</v>
      </c>
      <c r="J10" s="1">
        <f t="shared" si="2"/>
        <v>29</v>
      </c>
      <c r="K10" s="1">
        <f>COUNTIFS($F$2:$F$211, I10, $E$2:$E$211, I10)</f>
        <v>2</v>
      </c>
      <c r="L10" s="3">
        <f t="shared" si="4"/>
        <v>6.8965517241379309E-2</v>
      </c>
    </row>
    <row r="11" spans="1:12" x14ac:dyDescent="0.3">
      <c r="A11" s="1">
        <v>10</v>
      </c>
      <c r="B11" s="1">
        <v>10</v>
      </c>
      <c r="C11" s="1" t="s">
        <v>13</v>
      </c>
      <c r="D11" s="1">
        <f t="shared" si="1"/>
        <v>24</v>
      </c>
      <c r="E11" s="1" t="s">
        <v>77</v>
      </c>
      <c r="F11" s="1" t="s">
        <v>77</v>
      </c>
      <c r="G11" s="1">
        <f t="shared" si="0"/>
        <v>1</v>
      </c>
      <c r="I11" s="1" t="s">
        <v>80</v>
      </c>
      <c r="J11" s="1">
        <f t="shared" si="2"/>
        <v>30</v>
      </c>
      <c r="K11" s="1">
        <f t="shared" si="3"/>
        <v>11</v>
      </c>
      <c r="L11" s="3">
        <f t="shared" si="4"/>
        <v>0.36666666666666664</v>
      </c>
    </row>
    <row r="12" spans="1:12" x14ac:dyDescent="0.3">
      <c r="A12" s="1">
        <v>11</v>
      </c>
      <c r="B12" s="1">
        <v>11</v>
      </c>
      <c r="C12" s="1" t="s">
        <v>14</v>
      </c>
      <c r="D12" s="1">
        <f t="shared" si="1"/>
        <v>20</v>
      </c>
      <c r="E12" s="1" t="s">
        <v>76</v>
      </c>
      <c r="F12" s="1" t="s">
        <v>76</v>
      </c>
      <c r="G12" s="1">
        <f t="shared" si="0"/>
        <v>1</v>
      </c>
      <c r="I12" s="1" t="s">
        <v>76</v>
      </c>
      <c r="J12" s="1">
        <f t="shared" si="2"/>
        <v>30</v>
      </c>
      <c r="K12" s="1">
        <f t="shared" si="3"/>
        <v>28</v>
      </c>
      <c r="L12" s="3">
        <f t="shared" si="4"/>
        <v>0.93333333333333335</v>
      </c>
    </row>
    <row r="13" spans="1:12" x14ac:dyDescent="0.3">
      <c r="A13" s="1">
        <v>12</v>
      </c>
      <c r="B13" s="1">
        <v>12</v>
      </c>
      <c r="C13" s="1" t="s">
        <v>15</v>
      </c>
      <c r="D13" s="1">
        <f t="shared" si="1"/>
        <v>43</v>
      </c>
      <c r="E13" s="1" t="s">
        <v>76</v>
      </c>
      <c r="F13" s="1" t="s">
        <v>76</v>
      </c>
      <c r="G13" s="1">
        <f t="shared" si="0"/>
        <v>1</v>
      </c>
    </row>
    <row r="14" spans="1:12" x14ac:dyDescent="0.3">
      <c r="A14" s="1">
        <v>13</v>
      </c>
      <c r="B14" s="1">
        <v>13</v>
      </c>
      <c r="C14" s="1" t="s">
        <v>16</v>
      </c>
      <c r="D14" s="1">
        <f t="shared" si="1"/>
        <v>11</v>
      </c>
      <c r="E14" s="1" t="s">
        <v>76</v>
      </c>
      <c r="F14" s="1" t="s">
        <v>80</v>
      </c>
      <c r="G14" s="1">
        <f t="shared" si="0"/>
        <v>0</v>
      </c>
      <c r="I14" s="1" t="s">
        <v>231</v>
      </c>
      <c r="J14" s="1" t="s">
        <v>229</v>
      </c>
      <c r="K14" s="1" t="s">
        <v>230</v>
      </c>
      <c r="L14" s="1" t="s">
        <v>83</v>
      </c>
    </row>
    <row r="15" spans="1:12" x14ac:dyDescent="0.3">
      <c r="A15" s="1">
        <v>14</v>
      </c>
      <c r="B15" s="1">
        <v>14</v>
      </c>
      <c r="C15" s="1" t="s">
        <v>17</v>
      </c>
      <c r="D15" s="1">
        <f t="shared" si="1"/>
        <v>16</v>
      </c>
      <c r="E15" s="1" t="s">
        <v>76</v>
      </c>
      <c r="F15" s="1" t="s">
        <v>76</v>
      </c>
      <c r="G15" s="1">
        <f t="shared" si="0"/>
        <v>1</v>
      </c>
      <c r="I15" s="1" t="s">
        <v>232</v>
      </c>
      <c r="J15" s="1">
        <f>COUNTIF(D2:D210, "&lt;=25")</f>
        <v>96</v>
      </c>
      <c r="K15" s="1">
        <f>COUNTIFS(D2:D210, "&lt;=25", G2:G210, 1)</f>
        <v>41</v>
      </c>
      <c r="L15" s="4">
        <f>K15/J15</f>
        <v>0.42708333333333331</v>
      </c>
    </row>
    <row r="16" spans="1:12" x14ac:dyDescent="0.3">
      <c r="A16" s="1">
        <v>15</v>
      </c>
      <c r="B16" s="1">
        <v>15</v>
      </c>
      <c r="C16" s="1" t="s">
        <v>18</v>
      </c>
      <c r="D16" s="1">
        <f t="shared" si="1"/>
        <v>33</v>
      </c>
      <c r="E16" s="1" t="s">
        <v>79</v>
      </c>
      <c r="F16" s="1" t="s">
        <v>79</v>
      </c>
      <c r="G16" s="1">
        <f t="shared" si="0"/>
        <v>1</v>
      </c>
      <c r="I16" s="1" t="s">
        <v>233</v>
      </c>
      <c r="J16" s="1">
        <f>COUNTIFS(D2:D210, "&gt;25", D2:D210, "&lt;=50")</f>
        <v>95</v>
      </c>
      <c r="K16" s="1">
        <f>COUNTIFS(D2:D210, "&gt;25", D2:D210, "&lt;=50", G2:G210, 1)</f>
        <v>58</v>
      </c>
      <c r="L16" s="4">
        <f t="shared" ref="L16:L17" si="5">K16/J16</f>
        <v>0.61052631578947369</v>
      </c>
    </row>
    <row r="17" spans="1:12" x14ac:dyDescent="0.3">
      <c r="A17" s="1">
        <v>16</v>
      </c>
      <c r="B17" s="1">
        <v>16</v>
      </c>
      <c r="C17" s="1" t="s">
        <v>19</v>
      </c>
      <c r="D17" s="1">
        <f t="shared" si="1"/>
        <v>8</v>
      </c>
      <c r="E17" s="1" t="s">
        <v>77</v>
      </c>
      <c r="F17" s="1" t="s">
        <v>77</v>
      </c>
      <c r="G17" s="1">
        <f t="shared" si="0"/>
        <v>1</v>
      </c>
      <c r="I17" s="1" t="s">
        <v>234</v>
      </c>
      <c r="J17" s="1">
        <f>COUNTIF(D2:D210, "&gt;50")</f>
        <v>18</v>
      </c>
      <c r="K17" s="1">
        <f>COUNTIFS(D2:D210, "&gt;50", G2:G210, 1)</f>
        <v>11</v>
      </c>
      <c r="L17" s="4">
        <f t="shared" si="5"/>
        <v>0.61111111111111116</v>
      </c>
    </row>
    <row r="18" spans="1:12" x14ac:dyDescent="0.3">
      <c r="A18" s="1">
        <v>17</v>
      </c>
      <c r="B18" s="1">
        <v>17</v>
      </c>
      <c r="C18" s="1" t="s">
        <v>20</v>
      </c>
      <c r="D18" s="1">
        <f t="shared" si="1"/>
        <v>15</v>
      </c>
      <c r="E18" s="1" t="s">
        <v>77</v>
      </c>
      <c r="F18" s="1" t="s">
        <v>79</v>
      </c>
      <c r="G18" s="1">
        <f t="shared" si="0"/>
        <v>0</v>
      </c>
    </row>
    <row r="19" spans="1:12" x14ac:dyDescent="0.3">
      <c r="A19" s="1">
        <v>18</v>
      </c>
      <c r="B19" s="1">
        <v>18</v>
      </c>
      <c r="C19" s="1" t="s">
        <v>21</v>
      </c>
      <c r="D19" s="1">
        <f t="shared" si="1"/>
        <v>33</v>
      </c>
      <c r="E19" s="1" t="s">
        <v>78</v>
      </c>
      <c r="F19" s="1" t="s">
        <v>78</v>
      </c>
      <c r="G19" s="1">
        <f t="shared" si="0"/>
        <v>1</v>
      </c>
      <c r="I19" s="13" t="s">
        <v>238</v>
      </c>
      <c r="J19" s="13"/>
      <c r="K19" s="1"/>
      <c r="L19" s="1"/>
    </row>
    <row r="20" spans="1:12" x14ac:dyDescent="0.3">
      <c r="A20" s="1">
        <v>19</v>
      </c>
      <c r="B20" s="1">
        <v>19</v>
      </c>
      <c r="C20" s="1" t="s">
        <v>22</v>
      </c>
      <c r="D20" s="1">
        <f t="shared" si="1"/>
        <v>23</v>
      </c>
      <c r="E20" s="1" t="s">
        <v>79</v>
      </c>
      <c r="F20" s="1" t="s">
        <v>80</v>
      </c>
      <c r="G20" s="1">
        <f t="shared" si="0"/>
        <v>0</v>
      </c>
      <c r="I20" s="1" t="s">
        <v>239</v>
      </c>
      <c r="J20" s="1" t="s">
        <v>240</v>
      </c>
      <c r="K20" s="1" t="s">
        <v>237</v>
      </c>
      <c r="L20" s="1" t="s">
        <v>241</v>
      </c>
    </row>
    <row r="21" spans="1:12" x14ac:dyDescent="0.3">
      <c r="A21" s="1">
        <v>20</v>
      </c>
      <c r="B21" s="1">
        <v>20</v>
      </c>
      <c r="C21" s="1" t="s">
        <v>23</v>
      </c>
      <c r="D21" s="1">
        <f t="shared" si="1"/>
        <v>26</v>
      </c>
      <c r="E21" s="1" t="s">
        <v>79</v>
      </c>
      <c r="F21" s="1" t="s">
        <v>82</v>
      </c>
      <c r="G21" s="1">
        <f t="shared" si="0"/>
        <v>0</v>
      </c>
      <c r="I21" s="1" t="s">
        <v>80</v>
      </c>
      <c r="J21" s="1" t="s">
        <v>77</v>
      </c>
      <c r="K21" s="1">
        <f>COUNTIFS($E$2:$E$71, J21, $F$2:$F$71, I21)</f>
        <v>2</v>
      </c>
      <c r="L21" s="5">
        <f>K21/J11</f>
        <v>6.6666666666666666E-2</v>
      </c>
    </row>
    <row r="22" spans="1:12" x14ac:dyDescent="0.3">
      <c r="A22" s="1">
        <v>21</v>
      </c>
      <c r="B22" s="1">
        <v>21</v>
      </c>
      <c r="C22" s="1" t="s">
        <v>24</v>
      </c>
      <c r="D22" s="1">
        <f t="shared" si="1"/>
        <v>15</v>
      </c>
      <c r="E22" s="1" t="s">
        <v>78</v>
      </c>
      <c r="F22" s="1" t="s">
        <v>82</v>
      </c>
      <c r="G22" s="1">
        <f t="shared" si="0"/>
        <v>0</v>
      </c>
      <c r="I22" s="1" t="s">
        <v>236</v>
      </c>
      <c r="J22" s="1" t="s">
        <v>77</v>
      </c>
      <c r="K22" s="1">
        <f>COUNTIFS($E$2:$E$71, J22, $F$2:$F$71, I22)</f>
        <v>0</v>
      </c>
      <c r="L22" s="5">
        <f>K22/J10</f>
        <v>0</v>
      </c>
    </row>
    <row r="23" spans="1:12" x14ac:dyDescent="0.3">
      <c r="A23" s="1">
        <v>22</v>
      </c>
      <c r="B23" s="1">
        <v>22</v>
      </c>
      <c r="C23" s="1" t="s">
        <v>25</v>
      </c>
      <c r="D23" s="1">
        <f t="shared" si="1"/>
        <v>17</v>
      </c>
      <c r="E23" s="1" t="s">
        <v>79</v>
      </c>
      <c r="F23" s="1" t="s">
        <v>81</v>
      </c>
      <c r="G23" s="1">
        <f t="shared" si="0"/>
        <v>0</v>
      </c>
      <c r="I23" s="1" t="s">
        <v>77</v>
      </c>
      <c r="J23" s="1" t="s">
        <v>80</v>
      </c>
      <c r="K23" s="1">
        <f t="shared" ref="K23:K25" si="6">COUNTIFS($E$2:$E$71, J23, $F$2:$F$71, I23)</f>
        <v>0</v>
      </c>
      <c r="L23" s="5">
        <f>K23/J9</f>
        <v>0</v>
      </c>
    </row>
    <row r="24" spans="1:12" x14ac:dyDescent="0.3">
      <c r="A24" s="1">
        <v>23</v>
      </c>
      <c r="B24" s="1">
        <v>23</v>
      </c>
      <c r="C24" s="1" t="s">
        <v>26</v>
      </c>
      <c r="D24" s="1">
        <f t="shared" si="1"/>
        <v>21</v>
      </c>
      <c r="E24" s="1" t="s">
        <v>78</v>
      </c>
      <c r="F24" s="1" t="s">
        <v>79</v>
      </c>
      <c r="G24" s="1">
        <f t="shared" si="0"/>
        <v>0</v>
      </c>
      <c r="I24" s="1" t="s">
        <v>77</v>
      </c>
      <c r="J24" s="1" t="s">
        <v>236</v>
      </c>
      <c r="K24" s="1">
        <f t="shared" si="6"/>
        <v>0</v>
      </c>
      <c r="L24" s="5">
        <f>K24/J9</f>
        <v>0</v>
      </c>
    </row>
    <row r="25" spans="1:12" x14ac:dyDescent="0.3">
      <c r="A25" s="1">
        <v>24</v>
      </c>
      <c r="B25" s="1">
        <v>24</v>
      </c>
      <c r="C25" s="1" t="s">
        <v>27</v>
      </c>
      <c r="D25" s="1">
        <f t="shared" si="1"/>
        <v>12</v>
      </c>
      <c r="E25" s="1" t="s">
        <v>76</v>
      </c>
      <c r="F25" s="1" t="s">
        <v>81</v>
      </c>
      <c r="G25" s="1">
        <f t="shared" si="0"/>
        <v>0</v>
      </c>
      <c r="I25" s="1" t="s">
        <v>78</v>
      </c>
      <c r="J25" s="1" t="s">
        <v>81</v>
      </c>
      <c r="K25" s="1">
        <f t="shared" si="6"/>
        <v>0</v>
      </c>
      <c r="L25" s="5">
        <f>K25/J6</f>
        <v>0</v>
      </c>
    </row>
    <row r="26" spans="1:12" x14ac:dyDescent="0.3">
      <c r="A26" s="1">
        <v>25</v>
      </c>
      <c r="B26" s="1">
        <v>25</v>
      </c>
      <c r="C26" s="1" t="s">
        <v>28</v>
      </c>
      <c r="D26" s="1">
        <f t="shared" si="1"/>
        <v>24</v>
      </c>
      <c r="E26" s="1" t="s">
        <v>76</v>
      </c>
      <c r="F26" s="1" t="s">
        <v>82</v>
      </c>
      <c r="G26" s="1">
        <f t="shared" si="0"/>
        <v>0</v>
      </c>
      <c r="I26" s="1" t="s">
        <v>81</v>
      </c>
      <c r="J26" s="1" t="s">
        <v>78</v>
      </c>
      <c r="K26" s="1">
        <f>COUNTIFS($E$2:$E$71, J26, $F$2:$F$71, I26)</f>
        <v>2</v>
      </c>
      <c r="L26" s="5">
        <f>K26/J7</f>
        <v>6.6666666666666666E-2</v>
      </c>
    </row>
    <row r="27" spans="1:12" x14ac:dyDescent="0.3">
      <c r="A27" s="1">
        <v>26</v>
      </c>
      <c r="B27" s="1">
        <v>26</v>
      </c>
      <c r="C27" s="1" t="s">
        <v>29</v>
      </c>
      <c r="D27" s="1">
        <f t="shared" si="1"/>
        <v>27</v>
      </c>
      <c r="E27" s="1" t="s">
        <v>79</v>
      </c>
      <c r="F27" s="1" t="s">
        <v>79</v>
      </c>
      <c r="G27" s="1">
        <f t="shared" si="0"/>
        <v>1</v>
      </c>
      <c r="I27" s="1" t="s">
        <v>236</v>
      </c>
      <c r="J27" s="1" t="s">
        <v>80</v>
      </c>
      <c r="K27" s="1">
        <f>COUNTIFS($E$2:$E$71, J27, $F$2:$F$71, I27)</f>
        <v>0</v>
      </c>
      <c r="L27" s="5">
        <f>K27/J10</f>
        <v>0</v>
      </c>
    </row>
    <row r="28" spans="1:12" x14ac:dyDescent="0.3">
      <c r="A28" s="1">
        <v>27</v>
      </c>
      <c r="B28" s="1">
        <v>27</v>
      </c>
      <c r="C28" s="1" t="s">
        <v>30</v>
      </c>
      <c r="D28" s="1">
        <f t="shared" si="1"/>
        <v>29</v>
      </c>
      <c r="E28" s="1" t="s">
        <v>76</v>
      </c>
      <c r="F28" s="1" t="s">
        <v>76</v>
      </c>
      <c r="G28" s="1">
        <f t="shared" si="0"/>
        <v>1</v>
      </c>
      <c r="I28" s="1" t="s">
        <v>80</v>
      </c>
      <c r="J28" s="1" t="s">
        <v>236</v>
      </c>
      <c r="K28" s="1">
        <f>COUNTIFS($E$2:$E$71, J28, $F$2:$F$71, I28)</f>
        <v>0</v>
      </c>
      <c r="L28" s="5">
        <f>K28/J11</f>
        <v>0</v>
      </c>
    </row>
    <row r="29" spans="1:12" x14ac:dyDescent="0.3">
      <c r="A29" s="1">
        <v>28</v>
      </c>
      <c r="B29" s="1">
        <v>28</v>
      </c>
      <c r="C29" s="1" t="s">
        <v>31</v>
      </c>
      <c r="D29" s="1">
        <f t="shared" si="1"/>
        <v>20</v>
      </c>
      <c r="E29" s="1" t="s">
        <v>77</v>
      </c>
      <c r="F29" s="1" t="s">
        <v>79</v>
      </c>
      <c r="G29" s="1">
        <f t="shared" si="0"/>
        <v>0</v>
      </c>
      <c r="I29" s="1" t="s">
        <v>76</v>
      </c>
      <c r="J29" s="1" t="s">
        <v>236</v>
      </c>
      <c r="K29" s="1">
        <f t="shared" ref="K29:K32" si="7">COUNTIFS($E$2:$E$71, J29, $F$2:$F$71, I29)</f>
        <v>0</v>
      </c>
      <c r="L29" s="5">
        <f>K29/J12</f>
        <v>0</v>
      </c>
    </row>
    <row r="30" spans="1:12" x14ac:dyDescent="0.3">
      <c r="A30" s="1">
        <v>29</v>
      </c>
      <c r="B30" s="1">
        <v>29</v>
      </c>
      <c r="C30" s="1" t="s">
        <v>32</v>
      </c>
      <c r="D30" s="1">
        <f t="shared" si="1"/>
        <v>31</v>
      </c>
      <c r="E30" s="1" t="s">
        <v>76</v>
      </c>
      <c r="F30" s="1" t="s">
        <v>76</v>
      </c>
      <c r="G30" s="1">
        <f t="shared" si="0"/>
        <v>1</v>
      </c>
      <c r="I30" s="1" t="s">
        <v>236</v>
      </c>
      <c r="J30" s="1" t="s">
        <v>76</v>
      </c>
      <c r="K30" s="1">
        <f t="shared" si="7"/>
        <v>0</v>
      </c>
      <c r="L30" s="5">
        <f>K30/J10</f>
        <v>0</v>
      </c>
    </row>
    <row r="31" spans="1:12" x14ac:dyDescent="0.3">
      <c r="A31" s="1">
        <v>30</v>
      </c>
      <c r="B31" s="1">
        <v>30</v>
      </c>
      <c r="C31" s="1" t="s">
        <v>33</v>
      </c>
      <c r="D31" s="1">
        <f t="shared" si="1"/>
        <v>99</v>
      </c>
      <c r="E31" s="1" t="s">
        <v>77</v>
      </c>
      <c r="F31" s="1" t="s">
        <v>78</v>
      </c>
      <c r="G31" s="1">
        <f t="shared" si="0"/>
        <v>0</v>
      </c>
      <c r="I31" s="1" t="s">
        <v>76</v>
      </c>
      <c r="J31" s="1" t="s">
        <v>80</v>
      </c>
      <c r="K31" s="1">
        <f t="shared" si="7"/>
        <v>0</v>
      </c>
      <c r="L31" s="5">
        <f>K31/J12</f>
        <v>0</v>
      </c>
    </row>
    <row r="32" spans="1:12" x14ac:dyDescent="0.3">
      <c r="A32" s="1">
        <v>31</v>
      </c>
      <c r="B32" s="1">
        <v>31</v>
      </c>
      <c r="C32" s="1" t="s">
        <v>34</v>
      </c>
      <c r="D32" s="1">
        <f t="shared" si="1"/>
        <v>94</v>
      </c>
      <c r="E32" s="1" t="s">
        <v>77</v>
      </c>
      <c r="F32" s="1" t="s">
        <v>77</v>
      </c>
      <c r="G32" s="1">
        <f t="shared" si="0"/>
        <v>1</v>
      </c>
      <c r="I32" s="1" t="s">
        <v>80</v>
      </c>
      <c r="J32" s="1" t="s">
        <v>76</v>
      </c>
      <c r="K32" s="1">
        <f t="shared" si="7"/>
        <v>4</v>
      </c>
      <c r="L32" s="5">
        <f>K32/J11</f>
        <v>0.13333333333333333</v>
      </c>
    </row>
    <row r="33" spans="1:7" x14ac:dyDescent="0.3">
      <c r="A33" s="1">
        <v>32</v>
      </c>
      <c r="B33" s="1">
        <v>32</v>
      </c>
      <c r="C33" s="1" t="s">
        <v>35</v>
      </c>
      <c r="D33" s="1">
        <f t="shared" si="1"/>
        <v>30</v>
      </c>
      <c r="E33" s="1" t="s">
        <v>76</v>
      </c>
      <c r="F33" s="1" t="s">
        <v>76</v>
      </c>
      <c r="G33" s="1">
        <f t="shared" si="0"/>
        <v>1</v>
      </c>
    </row>
    <row r="34" spans="1:7" x14ac:dyDescent="0.3">
      <c r="A34" s="1">
        <v>33</v>
      </c>
      <c r="B34" s="1">
        <v>33</v>
      </c>
      <c r="C34" s="1" t="s">
        <v>36</v>
      </c>
      <c r="D34" s="1">
        <f t="shared" si="1"/>
        <v>46</v>
      </c>
      <c r="E34" s="1" t="s">
        <v>79</v>
      </c>
      <c r="F34" s="1" t="s">
        <v>77</v>
      </c>
      <c r="G34" s="1">
        <f t="shared" si="0"/>
        <v>0</v>
      </c>
    </row>
    <row r="35" spans="1:7" x14ac:dyDescent="0.3">
      <c r="A35" s="1">
        <v>34</v>
      </c>
      <c r="B35" s="1">
        <v>34</v>
      </c>
      <c r="C35" s="1" t="s">
        <v>37</v>
      </c>
      <c r="D35" s="1">
        <f t="shared" si="1"/>
        <v>22</v>
      </c>
      <c r="E35" s="1" t="s">
        <v>80</v>
      </c>
      <c r="F35" s="1" t="s">
        <v>80</v>
      </c>
      <c r="G35" s="1">
        <f t="shared" si="0"/>
        <v>1</v>
      </c>
    </row>
    <row r="36" spans="1:7" x14ac:dyDescent="0.3">
      <c r="A36" s="1">
        <v>35</v>
      </c>
      <c r="B36" s="1">
        <v>35</v>
      </c>
      <c r="C36" s="1" t="s">
        <v>38</v>
      </c>
      <c r="D36" s="1">
        <f t="shared" si="1"/>
        <v>18</v>
      </c>
      <c r="E36" s="1" t="s">
        <v>76</v>
      </c>
      <c r="F36" s="1" t="s">
        <v>80</v>
      </c>
      <c r="G36" s="1">
        <f t="shared" si="0"/>
        <v>0</v>
      </c>
    </row>
    <row r="37" spans="1:7" x14ac:dyDescent="0.3">
      <c r="A37" s="1">
        <v>36</v>
      </c>
      <c r="B37" s="1">
        <v>36</v>
      </c>
      <c r="C37" s="1" t="s">
        <v>39</v>
      </c>
      <c r="D37" s="1">
        <f t="shared" si="1"/>
        <v>13</v>
      </c>
      <c r="E37" s="1" t="s">
        <v>79</v>
      </c>
      <c r="F37" s="1" t="s">
        <v>81</v>
      </c>
      <c r="G37" s="1">
        <f t="shared" si="0"/>
        <v>0</v>
      </c>
    </row>
    <row r="38" spans="1:7" x14ac:dyDescent="0.3">
      <c r="A38" s="1">
        <v>37</v>
      </c>
      <c r="B38" s="1">
        <v>37</v>
      </c>
      <c r="C38" s="1" t="s">
        <v>40</v>
      </c>
      <c r="D38" s="1">
        <f t="shared" si="1"/>
        <v>49</v>
      </c>
      <c r="E38" s="1" t="s">
        <v>78</v>
      </c>
      <c r="F38" s="1" t="s">
        <v>78</v>
      </c>
      <c r="G38" s="1">
        <f t="shared" si="0"/>
        <v>1</v>
      </c>
    </row>
    <row r="39" spans="1:7" x14ac:dyDescent="0.3">
      <c r="A39" s="1">
        <v>38</v>
      </c>
      <c r="B39" s="1">
        <v>38</v>
      </c>
      <c r="C39" s="1" t="s">
        <v>41</v>
      </c>
      <c r="D39" s="1">
        <f t="shared" si="1"/>
        <v>37</v>
      </c>
      <c r="E39" s="1" t="s">
        <v>79</v>
      </c>
      <c r="F39" s="1" t="s">
        <v>79</v>
      </c>
      <c r="G39" s="1">
        <f t="shared" si="0"/>
        <v>1</v>
      </c>
    </row>
    <row r="40" spans="1:7" x14ac:dyDescent="0.3">
      <c r="A40" s="1">
        <v>39</v>
      </c>
      <c r="B40" s="1">
        <v>39</v>
      </c>
      <c r="C40" s="1" t="s">
        <v>42</v>
      </c>
      <c r="D40" s="1">
        <f t="shared" si="1"/>
        <v>14</v>
      </c>
      <c r="E40" s="1" t="s">
        <v>77</v>
      </c>
      <c r="F40" s="1" t="s">
        <v>82</v>
      </c>
      <c r="G40" s="1">
        <f t="shared" si="0"/>
        <v>0</v>
      </c>
    </row>
    <row r="41" spans="1:7" x14ac:dyDescent="0.3">
      <c r="A41" s="1">
        <v>40</v>
      </c>
      <c r="B41" s="1">
        <v>40</v>
      </c>
      <c r="C41" s="1" t="s">
        <v>43</v>
      </c>
      <c r="D41" s="1">
        <f t="shared" si="1"/>
        <v>24</v>
      </c>
      <c r="E41" s="1" t="s">
        <v>77</v>
      </c>
      <c r="F41" s="1" t="s">
        <v>82</v>
      </c>
      <c r="G41" s="1">
        <f t="shared" si="0"/>
        <v>0</v>
      </c>
    </row>
    <row r="42" spans="1:7" x14ac:dyDescent="0.3">
      <c r="A42" s="1">
        <v>41</v>
      </c>
      <c r="B42" s="1">
        <v>41</v>
      </c>
      <c r="C42" s="1" t="s">
        <v>44</v>
      </c>
      <c r="D42" s="1">
        <f t="shared" si="1"/>
        <v>38</v>
      </c>
      <c r="E42" s="1" t="s">
        <v>78</v>
      </c>
      <c r="F42" s="1" t="s">
        <v>81</v>
      </c>
      <c r="G42" s="1">
        <f t="shared" si="0"/>
        <v>0</v>
      </c>
    </row>
    <row r="43" spans="1:7" x14ac:dyDescent="0.3">
      <c r="A43" s="1">
        <v>42</v>
      </c>
      <c r="B43" s="1">
        <v>42</v>
      </c>
      <c r="C43" s="1" t="s">
        <v>45</v>
      </c>
      <c r="D43" s="1">
        <f t="shared" si="1"/>
        <v>20</v>
      </c>
      <c r="E43" s="1" t="s">
        <v>78</v>
      </c>
      <c r="F43" s="1" t="s">
        <v>81</v>
      </c>
      <c r="G43" s="1">
        <f t="shared" si="0"/>
        <v>0</v>
      </c>
    </row>
    <row r="44" spans="1:7" x14ac:dyDescent="0.3">
      <c r="A44" s="1">
        <v>43</v>
      </c>
      <c r="B44" s="1">
        <v>43</v>
      </c>
      <c r="C44" s="1" t="s">
        <v>46</v>
      </c>
      <c r="D44" s="1">
        <f t="shared" si="1"/>
        <v>15</v>
      </c>
      <c r="E44" s="1" t="s">
        <v>80</v>
      </c>
      <c r="F44" s="1" t="s">
        <v>80</v>
      </c>
      <c r="G44" s="1">
        <f t="shared" si="0"/>
        <v>1</v>
      </c>
    </row>
    <row r="45" spans="1:7" x14ac:dyDescent="0.3">
      <c r="A45" s="1">
        <v>44</v>
      </c>
      <c r="B45" s="1">
        <v>44</v>
      </c>
      <c r="C45" s="1" t="s">
        <v>47</v>
      </c>
      <c r="D45" s="1">
        <f t="shared" si="1"/>
        <v>23</v>
      </c>
      <c r="E45" s="1" t="s">
        <v>78</v>
      </c>
      <c r="F45" s="1" t="s">
        <v>78</v>
      </c>
      <c r="G45" s="1">
        <f t="shared" si="0"/>
        <v>1</v>
      </c>
    </row>
    <row r="46" spans="1:7" x14ac:dyDescent="0.3">
      <c r="A46" s="1">
        <v>45</v>
      </c>
      <c r="B46" s="1">
        <v>45</v>
      </c>
      <c r="C46" s="1" t="s">
        <v>48</v>
      </c>
      <c r="D46" s="1">
        <f t="shared" si="1"/>
        <v>16</v>
      </c>
      <c r="E46" s="1" t="s">
        <v>81</v>
      </c>
      <c r="F46" s="1" t="s">
        <v>81</v>
      </c>
      <c r="G46" s="1">
        <f t="shared" si="0"/>
        <v>1</v>
      </c>
    </row>
    <row r="47" spans="1:7" x14ac:dyDescent="0.3">
      <c r="A47" s="1">
        <v>46</v>
      </c>
      <c r="B47" s="1">
        <v>46</v>
      </c>
      <c r="C47" s="1" t="s">
        <v>49</v>
      </c>
      <c r="D47" s="1">
        <f t="shared" si="1"/>
        <v>31</v>
      </c>
      <c r="E47" s="1" t="s">
        <v>81</v>
      </c>
      <c r="F47" s="1" t="s">
        <v>82</v>
      </c>
      <c r="G47" s="1">
        <f t="shared" si="0"/>
        <v>0</v>
      </c>
    </row>
    <row r="48" spans="1:7" x14ac:dyDescent="0.3">
      <c r="A48" s="1">
        <v>47</v>
      </c>
      <c r="B48" s="1">
        <v>47</v>
      </c>
      <c r="C48" s="1" t="s">
        <v>50</v>
      </c>
      <c r="D48" s="1">
        <f t="shared" si="1"/>
        <v>25</v>
      </c>
      <c r="E48" s="1" t="s">
        <v>77</v>
      </c>
      <c r="F48" s="1" t="s">
        <v>79</v>
      </c>
      <c r="G48" s="1">
        <f t="shared" si="0"/>
        <v>0</v>
      </c>
    </row>
    <row r="49" spans="1:7" x14ac:dyDescent="0.3">
      <c r="A49" s="1">
        <v>48</v>
      </c>
      <c r="B49" s="1">
        <v>48</v>
      </c>
      <c r="C49" s="1" t="s">
        <v>51</v>
      </c>
      <c r="D49" s="1">
        <f t="shared" si="1"/>
        <v>78</v>
      </c>
      <c r="E49" s="1" t="s">
        <v>79</v>
      </c>
      <c r="F49" s="1" t="s">
        <v>81</v>
      </c>
      <c r="G49" s="1">
        <f t="shared" si="0"/>
        <v>0</v>
      </c>
    </row>
    <row r="50" spans="1:7" x14ac:dyDescent="0.3">
      <c r="A50" s="1">
        <v>49</v>
      </c>
      <c r="B50" s="1">
        <v>49</v>
      </c>
      <c r="C50" s="1" t="s">
        <v>52</v>
      </c>
      <c r="D50" s="1">
        <f t="shared" si="1"/>
        <v>10</v>
      </c>
      <c r="E50" s="1" t="s">
        <v>81</v>
      </c>
      <c r="F50" s="1" t="s">
        <v>81</v>
      </c>
      <c r="G50" s="1">
        <f t="shared" si="0"/>
        <v>1</v>
      </c>
    </row>
    <row r="51" spans="1:7" x14ac:dyDescent="0.3">
      <c r="A51" s="1">
        <v>50</v>
      </c>
      <c r="B51" s="1">
        <v>50</v>
      </c>
      <c r="C51" s="1" t="s">
        <v>53</v>
      </c>
      <c r="D51" s="1">
        <f t="shared" si="1"/>
        <v>55</v>
      </c>
      <c r="E51" s="1" t="s">
        <v>77</v>
      </c>
      <c r="F51" s="1" t="s">
        <v>77</v>
      </c>
      <c r="G51" s="1">
        <f t="shared" si="0"/>
        <v>1</v>
      </c>
    </row>
    <row r="52" spans="1:7" x14ac:dyDescent="0.3">
      <c r="A52" s="1">
        <v>51</v>
      </c>
      <c r="B52" s="1">
        <v>51</v>
      </c>
      <c r="C52" s="1" t="s">
        <v>54</v>
      </c>
      <c r="D52" s="1">
        <f t="shared" si="1"/>
        <v>28</v>
      </c>
      <c r="E52" s="1" t="s">
        <v>76</v>
      </c>
      <c r="F52" s="1" t="s">
        <v>76</v>
      </c>
      <c r="G52" s="1">
        <f t="shared" si="0"/>
        <v>1</v>
      </c>
    </row>
    <row r="53" spans="1:7" x14ac:dyDescent="0.3">
      <c r="A53" s="1">
        <v>52</v>
      </c>
      <c r="B53" s="1">
        <v>52</v>
      </c>
      <c r="C53" s="1" t="s">
        <v>55</v>
      </c>
      <c r="D53" s="1">
        <f t="shared" si="1"/>
        <v>21</v>
      </c>
      <c r="E53" s="1" t="s">
        <v>82</v>
      </c>
      <c r="F53" s="1" t="s">
        <v>82</v>
      </c>
      <c r="G53" s="1">
        <f t="shared" si="0"/>
        <v>1</v>
      </c>
    </row>
    <row r="54" spans="1:7" x14ac:dyDescent="0.3">
      <c r="A54" s="1">
        <v>53</v>
      </c>
      <c r="B54" s="1">
        <v>53</v>
      </c>
      <c r="C54" s="1" t="s">
        <v>56</v>
      </c>
      <c r="D54" s="1">
        <f t="shared" si="1"/>
        <v>18</v>
      </c>
      <c r="E54" s="1" t="s">
        <v>77</v>
      </c>
      <c r="F54" s="1" t="s">
        <v>77</v>
      </c>
      <c r="G54" s="1">
        <f t="shared" si="0"/>
        <v>1</v>
      </c>
    </row>
    <row r="55" spans="1:7" x14ac:dyDescent="0.3">
      <c r="A55" s="1">
        <v>54</v>
      </c>
      <c r="B55" s="1">
        <v>54</v>
      </c>
      <c r="C55" s="1" t="s">
        <v>57</v>
      </c>
      <c r="D55" s="1">
        <f t="shared" si="1"/>
        <v>206</v>
      </c>
      <c r="E55" s="1" t="s">
        <v>79</v>
      </c>
      <c r="F55" s="1" t="s">
        <v>79</v>
      </c>
      <c r="G55" s="1">
        <f t="shared" si="0"/>
        <v>1</v>
      </c>
    </row>
    <row r="56" spans="1:7" x14ac:dyDescent="0.3">
      <c r="A56" s="1">
        <v>55</v>
      </c>
      <c r="B56" s="1">
        <v>55</v>
      </c>
      <c r="C56" s="1" t="s">
        <v>58</v>
      </c>
      <c r="D56" s="1">
        <f t="shared" si="1"/>
        <v>13</v>
      </c>
      <c r="E56" s="1" t="s">
        <v>78</v>
      </c>
      <c r="F56" s="1" t="s">
        <v>78</v>
      </c>
      <c r="G56" s="1">
        <f t="shared" si="0"/>
        <v>1</v>
      </c>
    </row>
    <row r="57" spans="1:7" x14ac:dyDescent="0.3">
      <c r="A57" s="1">
        <v>56</v>
      </c>
      <c r="B57" s="1">
        <v>56</v>
      </c>
      <c r="C57" s="1" t="s">
        <v>59</v>
      </c>
      <c r="D57" s="1">
        <f t="shared" si="1"/>
        <v>31</v>
      </c>
      <c r="E57" s="1" t="s">
        <v>76</v>
      </c>
      <c r="F57" s="1" t="s">
        <v>77</v>
      </c>
      <c r="G57" s="1">
        <f t="shared" si="0"/>
        <v>0</v>
      </c>
    </row>
    <row r="58" spans="1:7" x14ac:dyDescent="0.3">
      <c r="A58" s="1">
        <v>57</v>
      </c>
      <c r="B58" s="1">
        <v>57</v>
      </c>
      <c r="C58" s="1" t="s">
        <v>60</v>
      </c>
      <c r="D58" s="1">
        <f t="shared" si="1"/>
        <v>48</v>
      </c>
      <c r="E58" s="1" t="s">
        <v>76</v>
      </c>
      <c r="F58" s="1" t="s">
        <v>82</v>
      </c>
      <c r="G58" s="1">
        <f t="shared" si="0"/>
        <v>0</v>
      </c>
    </row>
    <row r="59" spans="1:7" x14ac:dyDescent="0.3">
      <c r="A59" s="1">
        <v>58</v>
      </c>
      <c r="B59" s="1">
        <v>58</v>
      </c>
      <c r="C59" s="1" t="s">
        <v>61</v>
      </c>
      <c r="D59" s="1">
        <f t="shared" si="1"/>
        <v>21</v>
      </c>
      <c r="E59" s="1" t="s">
        <v>81</v>
      </c>
      <c r="F59" s="1" t="s">
        <v>81</v>
      </c>
      <c r="G59" s="1">
        <f t="shared" si="0"/>
        <v>1</v>
      </c>
    </row>
    <row r="60" spans="1:7" x14ac:dyDescent="0.3">
      <c r="A60" s="1">
        <v>59</v>
      </c>
      <c r="B60" s="1">
        <v>59</v>
      </c>
      <c r="C60" s="1" t="s">
        <v>62</v>
      </c>
      <c r="D60" s="1">
        <f t="shared" si="1"/>
        <v>8</v>
      </c>
      <c r="E60" s="1" t="s">
        <v>76</v>
      </c>
      <c r="F60" s="1" t="s">
        <v>79</v>
      </c>
      <c r="G60" s="1">
        <f t="shared" si="0"/>
        <v>0</v>
      </c>
    </row>
    <row r="61" spans="1:7" x14ac:dyDescent="0.3">
      <c r="A61" s="1">
        <v>60</v>
      </c>
      <c r="B61" s="1">
        <v>60</v>
      </c>
      <c r="C61" s="1" t="s">
        <v>63</v>
      </c>
      <c r="D61" s="1">
        <f t="shared" si="1"/>
        <v>28</v>
      </c>
      <c r="E61" s="1" t="s">
        <v>78</v>
      </c>
      <c r="F61" s="1" t="s">
        <v>78</v>
      </c>
      <c r="G61" s="1">
        <f t="shared" si="0"/>
        <v>1</v>
      </c>
    </row>
    <row r="62" spans="1:7" x14ac:dyDescent="0.3">
      <c r="A62" s="1">
        <v>61</v>
      </c>
      <c r="B62" s="1">
        <v>61</v>
      </c>
      <c r="C62" s="1" t="s">
        <v>64</v>
      </c>
      <c r="D62" s="1">
        <f t="shared" si="1"/>
        <v>22</v>
      </c>
      <c r="E62" s="1" t="s">
        <v>78</v>
      </c>
      <c r="F62" s="1" t="s">
        <v>78</v>
      </c>
      <c r="G62" s="1">
        <f t="shared" si="0"/>
        <v>1</v>
      </c>
    </row>
    <row r="63" spans="1:7" x14ac:dyDescent="0.3">
      <c r="A63" s="1">
        <v>62</v>
      </c>
      <c r="B63" s="1">
        <v>62</v>
      </c>
      <c r="C63" s="1" t="s">
        <v>65</v>
      </c>
      <c r="D63" s="1">
        <f t="shared" si="1"/>
        <v>16</v>
      </c>
      <c r="E63" s="1" t="s">
        <v>77</v>
      </c>
      <c r="F63" s="1" t="s">
        <v>81</v>
      </c>
      <c r="G63" s="1">
        <f t="shared" si="0"/>
        <v>0</v>
      </c>
    </row>
    <row r="64" spans="1:7" x14ac:dyDescent="0.3">
      <c r="A64" s="1">
        <v>63</v>
      </c>
      <c r="B64" s="1">
        <v>63</v>
      </c>
      <c r="C64" s="1" t="s">
        <v>66</v>
      </c>
      <c r="D64" s="1">
        <f t="shared" si="1"/>
        <v>28</v>
      </c>
      <c r="E64" s="1" t="s">
        <v>78</v>
      </c>
      <c r="F64" s="1" t="s">
        <v>78</v>
      </c>
      <c r="G64" s="1">
        <f t="shared" si="0"/>
        <v>1</v>
      </c>
    </row>
    <row r="65" spans="1:7" x14ac:dyDescent="0.3">
      <c r="A65" s="1">
        <v>64</v>
      </c>
      <c r="B65" s="1">
        <v>64</v>
      </c>
      <c r="C65" s="1" t="s">
        <v>67</v>
      </c>
      <c r="D65" s="1">
        <f t="shared" si="1"/>
        <v>40</v>
      </c>
      <c r="E65" s="1" t="s">
        <v>76</v>
      </c>
      <c r="F65" s="1" t="s">
        <v>76</v>
      </c>
      <c r="G65" s="1">
        <f t="shared" si="0"/>
        <v>1</v>
      </c>
    </row>
    <row r="66" spans="1:7" x14ac:dyDescent="0.3">
      <c r="A66" s="1">
        <v>65</v>
      </c>
      <c r="B66" s="1">
        <v>65</v>
      </c>
      <c r="C66" s="1" t="s">
        <v>68</v>
      </c>
      <c r="D66" s="1">
        <f t="shared" si="1"/>
        <v>35</v>
      </c>
      <c r="E66" s="1" t="s">
        <v>79</v>
      </c>
      <c r="F66" s="1" t="s">
        <v>79</v>
      </c>
      <c r="G66" s="1">
        <f t="shared" ref="G66:G129" si="8">IF(E66=F66, 1, 0)</f>
        <v>1</v>
      </c>
    </row>
    <row r="67" spans="1:7" x14ac:dyDescent="0.3">
      <c r="A67" s="1">
        <v>66</v>
      </c>
      <c r="B67" s="1">
        <v>66</v>
      </c>
      <c r="C67" s="1" t="s">
        <v>69</v>
      </c>
      <c r="D67" s="1">
        <f t="shared" ref="D67:D130" si="9">LEN(C67)</f>
        <v>29</v>
      </c>
      <c r="E67" s="1" t="s">
        <v>77</v>
      </c>
      <c r="F67" s="1" t="s">
        <v>82</v>
      </c>
      <c r="G67" s="1">
        <f t="shared" si="8"/>
        <v>0</v>
      </c>
    </row>
    <row r="68" spans="1:7" x14ac:dyDescent="0.3">
      <c r="A68" s="1">
        <v>67</v>
      </c>
      <c r="B68" s="1">
        <v>67</v>
      </c>
      <c r="C68" s="1" t="s">
        <v>70</v>
      </c>
      <c r="D68" s="1">
        <f t="shared" si="9"/>
        <v>60</v>
      </c>
      <c r="E68" s="1" t="s">
        <v>77</v>
      </c>
      <c r="F68" s="1" t="s">
        <v>77</v>
      </c>
      <c r="G68" s="1">
        <f t="shared" si="8"/>
        <v>1</v>
      </c>
    </row>
    <row r="69" spans="1:7" x14ac:dyDescent="0.3">
      <c r="A69" s="1">
        <v>68</v>
      </c>
      <c r="B69" s="1">
        <v>68</v>
      </c>
      <c r="C69" s="1" t="s">
        <v>71</v>
      </c>
      <c r="D69" s="1">
        <f t="shared" si="9"/>
        <v>26</v>
      </c>
      <c r="E69" s="1" t="s">
        <v>78</v>
      </c>
      <c r="F69" s="1" t="s">
        <v>77</v>
      </c>
      <c r="G69" s="1">
        <f t="shared" si="8"/>
        <v>0</v>
      </c>
    </row>
    <row r="70" spans="1:7" x14ac:dyDescent="0.3">
      <c r="A70" s="1">
        <v>69</v>
      </c>
      <c r="B70" s="1">
        <v>69</v>
      </c>
      <c r="C70" s="1" t="s">
        <v>72</v>
      </c>
      <c r="D70" s="1">
        <f t="shared" si="9"/>
        <v>27</v>
      </c>
      <c r="E70" s="1" t="s">
        <v>80</v>
      </c>
      <c r="F70" s="1" t="s">
        <v>80</v>
      </c>
      <c r="G70" s="1">
        <f t="shared" si="8"/>
        <v>1</v>
      </c>
    </row>
    <row r="71" spans="1:7" x14ac:dyDescent="0.3">
      <c r="A71" s="1">
        <v>70</v>
      </c>
      <c r="B71" s="1">
        <v>70</v>
      </c>
      <c r="C71" s="1" t="s">
        <v>73</v>
      </c>
      <c r="D71" s="1">
        <f t="shared" si="9"/>
        <v>15</v>
      </c>
      <c r="E71" s="1" t="s">
        <v>76</v>
      </c>
      <c r="F71" s="1" t="s">
        <v>76</v>
      </c>
      <c r="G71" s="1">
        <f t="shared" si="8"/>
        <v>1</v>
      </c>
    </row>
    <row r="72" spans="1:7" x14ac:dyDescent="0.3">
      <c r="A72" s="1">
        <v>71</v>
      </c>
      <c r="B72" s="1">
        <v>71</v>
      </c>
      <c r="C72" s="1" t="s">
        <v>84</v>
      </c>
      <c r="D72" s="1">
        <f t="shared" si="9"/>
        <v>32</v>
      </c>
      <c r="E72" s="1" t="s">
        <v>79</v>
      </c>
      <c r="F72" s="1" t="s">
        <v>79</v>
      </c>
      <c r="G72" s="1">
        <f t="shared" si="8"/>
        <v>1</v>
      </c>
    </row>
    <row r="73" spans="1:7" x14ac:dyDescent="0.3">
      <c r="A73" s="1">
        <v>72</v>
      </c>
      <c r="B73" s="1">
        <v>72</v>
      </c>
      <c r="C73" s="1" t="s">
        <v>85</v>
      </c>
      <c r="D73" s="1">
        <f t="shared" si="9"/>
        <v>25</v>
      </c>
      <c r="E73" s="1" t="s">
        <v>76</v>
      </c>
      <c r="F73" s="1" t="s">
        <v>82</v>
      </c>
      <c r="G73" s="1">
        <f t="shared" si="8"/>
        <v>0</v>
      </c>
    </row>
    <row r="74" spans="1:7" x14ac:dyDescent="0.3">
      <c r="A74" s="1">
        <v>74</v>
      </c>
      <c r="B74" s="1">
        <v>73</v>
      </c>
      <c r="C74" s="1" t="s">
        <v>86</v>
      </c>
      <c r="D74" s="1">
        <f t="shared" si="9"/>
        <v>100</v>
      </c>
      <c r="E74" s="1" t="s">
        <v>81</v>
      </c>
      <c r="F74" s="1" t="s">
        <v>81</v>
      </c>
      <c r="G74" s="1">
        <f t="shared" si="8"/>
        <v>1</v>
      </c>
    </row>
    <row r="75" spans="1:7" x14ac:dyDescent="0.3">
      <c r="A75" s="1">
        <v>75</v>
      </c>
      <c r="B75" s="1">
        <v>74</v>
      </c>
      <c r="C75" s="1" t="s">
        <v>87</v>
      </c>
      <c r="D75" s="1">
        <f t="shared" si="9"/>
        <v>35</v>
      </c>
      <c r="E75" s="1" t="s">
        <v>76</v>
      </c>
      <c r="F75" s="1" t="s">
        <v>77</v>
      </c>
      <c r="G75" s="1">
        <f t="shared" si="8"/>
        <v>0</v>
      </c>
    </row>
    <row r="76" spans="1:7" x14ac:dyDescent="0.3">
      <c r="A76" s="1">
        <v>76</v>
      </c>
      <c r="B76" s="1">
        <v>75</v>
      </c>
      <c r="C76" s="1" t="s">
        <v>88</v>
      </c>
      <c r="D76" s="1">
        <f t="shared" si="9"/>
        <v>66</v>
      </c>
      <c r="E76" s="1" t="s">
        <v>77</v>
      </c>
      <c r="F76" s="1" t="s">
        <v>77</v>
      </c>
      <c r="G76" s="1">
        <f t="shared" si="8"/>
        <v>1</v>
      </c>
    </row>
    <row r="77" spans="1:7" x14ac:dyDescent="0.3">
      <c r="A77" s="1">
        <v>77</v>
      </c>
      <c r="B77" s="1">
        <v>76</v>
      </c>
      <c r="C77" s="1" t="s">
        <v>89</v>
      </c>
      <c r="D77" s="1">
        <f t="shared" si="9"/>
        <v>32</v>
      </c>
      <c r="E77" s="1" t="s">
        <v>80</v>
      </c>
      <c r="F77" s="1" t="s">
        <v>80</v>
      </c>
      <c r="G77" s="1">
        <f t="shared" si="8"/>
        <v>1</v>
      </c>
    </row>
    <row r="78" spans="1:7" x14ac:dyDescent="0.3">
      <c r="A78" s="1">
        <v>83</v>
      </c>
      <c r="B78" s="1">
        <v>77</v>
      </c>
      <c r="C78" s="1" t="s">
        <v>90</v>
      </c>
      <c r="D78" s="1">
        <f t="shared" si="9"/>
        <v>16</v>
      </c>
      <c r="E78" s="1" t="s">
        <v>76</v>
      </c>
      <c r="F78" s="1" t="s">
        <v>82</v>
      </c>
      <c r="G78" s="1">
        <f t="shared" si="8"/>
        <v>0</v>
      </c>
    </row>
    <row r="79" spans="1:7" x14ac:dyDescent="0.3">
      <c r="A79" s="1">
        <v>84</v>
      </c>
      <c r="B79" s="1">
        <v>78</v>
      </c>
      <c r="C79" s="1" t="s">
        <v>91</v>
      </c>
      <c r="D79" s="1">
        <f t="shared" si="9"/>
        <v>18</v>
      </c>
      <c r="E79" s="1" t="s">
        <v>80</v>
      </c>
      <c r="F79" s="1" t="s">
        <v>76</v>
      </c>
      <c r="G79" s="1">
        <f t="shared" si="8"/>
        <v>0</v>
      </c>
    </row>
    <row r="80" spans="1:7" x14ac:dyDescent="0.3">
      <c r="A80" s="1">
        <v>85</v>
      </c>
      <c r="B80" s="1">
        <v>79</v>
      </c>
      <c r="C80" s="1" t="s">
        <v>92</v>
      </c>
      <c r="D80" s="1">
        <f t="shared" si="9"/>
        <v>16</v>
      </c>
      <c r="E80" s="1" t="s">
        <v>76</v>
      </c>
      <c r="F80" s="1" t="s">
        <v>80</v>
      </c>
      <c r="G80" s="1">
        <f t="shared" si="8"/>
        <v>0</v>
      </c>
    </row>
    <row r="81" spans="1:7" x14ac:dyDescent="0.3">
      <c r="A81" s="1">
        <v>86</v>
      </c>
      <c r="B81" s="1">
        <v>80</v>
      </c>
      <c r="C81" s="1" t="s">
        <v>93</v>
      </c>
      <c r="D81" s="1">
        <f t="shared" si="9"/>
        <v>29</v>
      </c>
      <c r="E81" s="1" t="s">
        <v>78</v>
      </c>
      <c r="F81" s="1" t="s">
        <v>78</v>
      </c>
      <c r="G81" s="1">
        <f t="shared" si="8"/>
        <v>1</v>
      </c>
    </row>
    <row r="82" spans="1:7" x14ac:dyDescent="0.3">
      <c r="A82" s="1">
        <v>91</v>
      </c>
      <c r="B82" s="1">
        <v>81</v>
      </c>
      <c r="C82" s="1" t="s">
        <v>94</v>
      </c>
      <c r="D82" s="1">
        <f t="shared" si="9"/>
        <v>43</v>
      </c>
      <c r="E82" s="1" t="s">
        <v>76</v>
      </c>
      <c r="F82" s="1" t="s">
        <v>76</v>
      </c>
      <c r="G82" s="1">
        <f t="shared" si="8"/>
        <v>1</v>
      </c>
    </row>
    <row r="83" spans="1:7" x14ac:dyDescent="0.3">
      <c r="A83" s="1">
        <v>92</v>
      </c>
      <c r="B83" s="1">
        <v>82</v>
      </c>
      <c r="C83" s="1" t="s">
        <v>95</v>
      </c>
      <c r="D83" s="1">
        <f t="shared" si="9"/>
        <v>18</v>
      </c>
      <c r="E83" s="1" t="s">
        <v>76</v>
      </c>
      <c r="F83" s="1" t="s">
        <v>77</v>
      </c>
      <c r="G83" s="1">
        <f t="shared" si="8"/>
        <v>0</v>
      </c>
    </row>
    <row r="84" spans="1:7" x14ac:dyDescent="0.3">
      <c r="A84" s="1">
        <v>93</v>
      </c>
      <c r="B84" s="1">
        <v>83</v>
      </c>
      <c r="C84" s="1" t="s">
        <v>96</v>
      </c>
      <c r="D84" s="1">
        <f t="shared" si="9"/>
        <v>51</v>
      </c>
      <c r="E84" s="1" t="s">
        <v>77</v>
      </c>
      <c r="F84" s="1" t="s">
        <v>77</v>
      </c>
      <c r="G84" s="1">
        <f t="shared" si="8"/>
        <v>1</v>
      </c>
    </row>
    <row r="85" spans="1:7" x14ac:dyDescent="0.3">
      <c r="A85" s="1">
        <v>94</v>
      </c>
      <c r="B85" s="1">
        <v>84</v>
      </c>
      <c r="C85" s="1" t="s">
        <v>97</v>
      </c>
      <c r="D85" s="1">
        <f t="shared" si="9"/>
        <v>14</v>
      </c>
      <c r="E85" s="1" t="s">
        <v>79</v>
      </c>
      <c r="F85" s="1" t="s">
        <v>79</v>
      </c>
      <c r="G85" s="1">
        <f t="shared" si="8"/>
        <v>1</v>
      </c>
    </row>
    <row r="86" spans="1:7" x14ac:dyDescent="0.3">
      <c r="A86" s="1">
        <v>96</v>
      </c>
      <c r="B86" s="1">
        <v>85</v>
      </c>
      <c r="C86" s="1" t="s">
        <v>98</v>
      </c>
      <c r="D86" s="1">
        <f t="shared" si="9"/>
        <v>32</v>
      </c>
      <c r="E86" s="1" t="s">
        <v>79</v>
      </c>
      <c r="F86" s="1" t="s">
        <v>82</v>
      </c>
      <c r="G86" s="1">
        <f t="shared" si="8"/>
        <v>0</v>
      </c>
    </row>
    <row r="87" spans="1:7" x14ac:dyDescent="0.3">
      <c r="A87" s="1">
        <v>100</v>
      </c>
      <c r="B87" s="1">
        <v>86</v>
      </c>
      <c r="C87" s="1" t="s">
        <v>99</v>
      </c>
      <c r="D87" s="1">
        <f t="shared" si="9"/>
        <v>22</v>
      </c>
      <c r="E87" s="1" t="s">
        <v>76</v>
      </c>
      <c r="F87" s="1" t="s">
        <v>77</v>
      </c>
      <c r="G87" s="1">
        <f t="shared" si="8"/>
        <v>0</v>
      </c>
    </row>
    <row r="88" spans="1:7" x14ac:dyDescent="0.3">
      <c r="A88" s="1">
        <v>103</v>
      </c>
      <c r="B88" s="1">
        <v>87</v>
      </c>
      <c r="C88" s="1" t="s">
        <v>100</v>
      </c>
      <c r="D88" s="1">
        <f t="shared" si="9"/>
        <v>71</v>
      </c>
      <c r="E88" s="1" t="s">
        <v>79</v>
      </c>
      <c r="F88" s="1" t="s">
        <v>80</v>
      </c>
      <c r="G88" s="1">
        <f t="shared" si="8"/>
        <v>0</v>
      </c>
    </row>
    <row r="89" spans="1:7" x14ac:dyDescent="0.3">
      <c r="A89" s="1">
        <v>104</v>
      </c>
      <c r="B89" s="1">
        <v>88</v>
      </c>
      <c r="C89" s="1" t="s">
        <v>101</v>
      </c>
      <c r="D89" s="1">
        <f t="shared" si="9"/>
        <v>34</v>
      </c>
      <c r="E89" s="1" t="s">
        <v>78</v>
      </c>
      <c r="F89" s="1" t="s">
        <v>78</v>
      </c>
      <c r="G89" s="1">
        <f t="shared" si="8"/>
        <v>1</v>
      </c>
    </row>
    <row r="90" spans="1:7" x14ac:dyDescent="0.3">
      <c r="A90" s="1">
        <v>105</v>
      </c>
      <c r="B90" s="1">
        <v>89</v>
      </c>
      <c r="C90" s="1" t="s">
        <v>102</v>
      </c>
      <c r="D90" s="1">
        <f t="shared" si="9"/>
        <v>32</v>
      </c>
      <c r="E90" s="1" t="s">
        <v>76</v>
      </c>
      <c r="F90" s="1" t="s">
        <v>76</v>
      </c>
      <c r="G90" s="1">
        <f t="shared" si="8"/>
        <v>1</v>
      </c>
    </row>
    <row r="91" spans="1:7" x14ac:dyDescent="0.3">
      <c r="A91" s="1">
        <v>106</v>
      </c>
      <c r="B91" s="1">
        <v>90</v>
      </c>
      <c r="C91" s="1" t="s">
        <v>103</v>
      </c>
      <c r="D91" s="1">
        <f t="shared" si="9"/>
        <v>32</v>
      </c>
      <c r="E91" s="1" t="s">
        <v>76</v>
      </c>
      <c r="F91" s="1" t="s">
        <v>76</v>
      </c>
      <c r="G91" s="1">
        <f t="shared" si="8"/>
        <v>1</v>
      </c>
    </row>
    <row r="92" spans="1:7" x14ac:dyDescent="0.3">
      <c r="A92" s="1">
        <v>107</v>
      </c>
      <c r="B92" s="1">
        <v>91</v>
      </c>
      <c r="C92" s="1" t="s">
        <v>104</v>
      </c>
      <c r="D92" s="1">
        <f t="shared" si="9"/>
        <v>17</v>
      </c>
      <c r="E92" s="1" t="s">
        <v>81</v>
      </c>
      <c r="F92" s="1" t="s">
        <v>81</v>
      </c>
      <c r="G92" s="1">
        <f t="shared" si="8"/>
        <v>1</v>
      </c>
    </row>
    <row r="93" spans="1:7" x14ac:dyDescent="0.3">
      <c r="A93" s="1">
        <v>109</v>
      </c>
      <c r="B93" s="1">
        <v>92</v>
      </c>
      <c r="C93" s="1" t="s">
        <v>105</v>
      </c>
      <c r="D93" s="1">
        <f t="shared" si="9"/>
        <v>17</v>
      </c>
      <c r="E93" s="1" t="s">
        <v>76</v>
      </c>
      <c r="F93" s="1" t="s">
        <v>82</v>
      </c>
      <c r="G93" s="1">
        <f t="shared" si="8"/>
        <v>0</v>
      </c>
    </row>
    <row r="94" spans="1:7" x14ac:dyDescent="0.3">
      <c r="A94" s="1">
        <v>110</v>
      </c>
      <c r="B94" s="1">
        <v>93</v>
      </c>
      <c r="C94" s="1" t="s">
        <v>106</v>
      </c>
      <c r="D94" s="1">
        <f t="shared" si="9"/>
        <v>29</v>
      </c>
      <c r="E94" s="1" t="s">
        <v>77</v>
      </c>
      <c r="F94" s="1" t="s">
        <v>77</v>
      </c>
      <c r="G94" s="1">
        <f t="shared" si="8"/>
        <v>1</v>
      </c>
    </row>
    <row r="95" spans="1:7" x14ac:dyDescent="0.3">
      <c r="A95" s="1">
        <v>112</v>
      </c>
      <c r="B95" s="1">
        <v>94</v>
      </c>
      <c r="C95" s="1" t="s">
        <v>107</v>
      </c>
      <c r="D95" s="1">
        <f t="shared" si="9"/>
        <v>33</v>
      </c>
      <c r="E95" s="1" t="s">
        <v>76</v>
      </c>
      <c r="F95" s="1" t="s">
        <v>76</v>
      </c>
      <c r="G95" s="1">
        <f t="shared" si="8"/>
        <v>1</v>
      </c>
    </row>
    <row r="96" spans="1:7" x14ac:dyDescent="0.3">
      <c r="A96" s="1">
        <v>116</v>
      </c>
      <c r="B96" s="1">
        <v>95</v>
      </c>
      <c r="C96" s="1" t="s">
        <v>108</v>
      </c>
      <c r="D96" s="1">
        <f t="shared" si="9"/>
        <v>56</v>
      </c>
      <c r="E96" s="1" t="s">
        <v>76</v>
      </c>
      <c r="F96" s="1" t="s">
        <v>76</v>
      </c>
      <c r="G96" s="1">
        <f t="shared" si="8"/>
        <v>1</v>
      </c>
    </row>
    <row r="97" spans="1:7" x14ac:dyDescent="0.3">
      <c r="A97" s="1">
        <v>120</v>
      </c>
      <c r="B97" s="1">
        <v>96</v>
      </c>
      <c r="C97" s="1" t="s">
        <v>109</v>
      </c>
      <c r="D97" s="1">
        <f t="shared" si="9"/>
        <v>22</v>
      </c>
      <c r="E97" s="1" t="s">
        <v>77</v>
      </c>
      <c r="F97" s="1" t="s">
        <v>80</v>
      </c>
      <c r="G97" s="1">
        <f t="shared" si="8"/>
        <v>0</v>
      </c>
    </row>
    <row r="98" spans="1:7" x14ac:dyDescent="0.3">
      <c r="A98" s="1">
        <v>121</v>
      </c>
      <c r="B98" s="1">
        <v>97</v>
      </c>
      <c r="C98" s="1" t="s">
        <v>110</v>
      </c>
      <c r="D98" s="1">
        <f t="shared" si="9"/>
        <v>23</v>
      </c>
      <c r="E98" s="1" t="s">
        <v>77</v>
      </c>
      <c r="F98" s="1" t="s">
        <v>77</v>
      </c>
      <c r="G98" s="1">
        <f t="shared" si="8"/>
        <v>1</v>
      </c>
    </row>
    <row r="99" spans="1:7" x14ac:dyDescent="0.3">
      <c r="A99" s="1">
        <v>126</v>
      </c>
      <c r="B99" s="1">
        <v>98</v>
      </c>
      <c r="C99" s="1" t="s">
        <v>111</v>
      </c>
      <c r="D99" s="1">
        <f t="shared" si="9"/>
        <v>38</v>
      </c>
      <c r="E99" s="1" t="s">
        <v>76</v>
      </c>
      <c r="F99" s="1" t="s">
        <v>76</v>
      </c>
      <c r="G99" s="1">
        <f t="shared" si="8"/>
        <v>1</v>
      </c>
    </row>
    <row r="100" spans="1:7" x14ac:dyDescent="0.3">
      <c r="A100" s="1">
        <v>127</v>
      </c>
      <c r="B100" s="1">
        <v>99</v>
      </c>
      <c r="C100" s="1" t="s">
        <v>112</v>
      </c>
      <c r="D100" s="1">
        <f t="shared" si="9"/>
        <v>45</v>
      </c>
      <c r="E100" s="1" t="s">
        <v>79</v>
      </c>
      <c r="F100" s="1" t="s">
        <v>81</v>
      </c>
      <c r="G100" s="1">
        <f t="shared" si="8"/>
        <v>0</v>
      </c>
    </row>
    <row r="101" spans="1:7" x14ac:dyDescent="0.3">
      <c r="A101" s="1">
        <v>129</v>
      </c>
      <c r="B101" s="1">
        <v>100</v>
      </c>
      <c r="C101" s="1" t="s">
        <v>113</v>
      </c>
      <c r="D101" s="1">
        <f t="shared" si="9"/>
        <v>13</v>
      </c>
      <c r="E101" s="1" t="s">
        <v>76</v>
      </c>
      <c r="F101" s="1" t="s">
        <v>79</v>
      </c>
      <c r="G101" s="1">
        <f t="shared" si="8"/>
        <v>0</v>
      </c>
    </row>
    <row r="102" spans="1:7" x14ac:dyDescent="0.3">
      <c r="A102" s="1">
        <v>130</v>
      </c>
      <c r="B102" s="1">
        <v>101</v>
      </c>
      <c r="C102" s="1" t="s">
        <v>114</v>
      </c>
      <c r="D102" s="1">
        <f t="shared" si="9"/>
        <v>14</v>
      </c>
      <c r="E102" s="1" t="s">
        <v>76</v>
      </c>
      <c r="F102" s="1" t="s">
        <v>76</v>
      </c>
      <c r="G102" s="1">
        <f t="shared" si="8"/>
        <v>1</v>
      </c>
    </row>
    <row r="103" spans="1:7" x14ac:dyDescent="0.3">
      <c r="A103" s="1">
        <v>132</v>
      </c>
      <c r="B103" s="1">
        <v>102</v>
      </c>
      <c r="C103" s="1" t="s">
        <v>115</v>
      </c>
      <c r="D103" s="1">
        <f t="shared" si="9"/>
        <v>33</v>
      </c>
      <c r="E103" s="1" t="s">
        <v>79</v>
      </c>
      <c r="F103" s="1" t="s">
        <v>79</v>
      </c>
      <c r="G103" s="1">
        <f t="shared" si="8"/>
        <v>1</v>
      </c>
    </row>
    <row r="104" spans="1:7" x14ac:dyDescent="0.3">
      <c r="A104" s="1">
        <v>139</v>
      </c>
      <c r="B104" s="1">
        <v>103</v>
      </c>
      <c r="C104" s="1" t="s">
        <v>116</v>
      </c>
      <c r="D104" s="1">
        <f t="shared" si="9"/>
        <v>36</v>
      </c>
      <c r="E104" s="1" t="s">
        <v>79</v>
      </c>
      <c r="F104" s="1" t="s">
        <v>78</v>
      </c>
      <c r="G104" s="1">
        <f t="shared" si="8"/>
        <v>0</v>
      </c>
    </row>
    <row r="105" spans="1:7" x14ac:dyDescent="0.3">
      <c r="A105" s="1">
        <v>140</v>
      </c>
      <c r="B105" s="1">
        <v>104</v>
      </c>
      <c r="C105" s="1" t="s">
        <v>117</v>
      </c>
      <c r="D105" s="1">
        <f t="shared" si="9"/>
        <v>25</v>
      </c>
      <c r="E105" s="1" t="s">
        <v>81</v>
      </c>
      <c r="F105" s="1" t="s">
        <v>81</v>
      </c>
      <c r="G105" s="1">
        <f t="shared" si="8"/>
        <v>1</v>
      </c>
    </row>
    <row r="106" spans="1:7" x14ac:dyDescent="0.3">
      <c r="A106" s="1">
        <v>141</v>
      </c>
      <c r="B106" s="1">
        <v>105</v>
      </c>
      <c r="C106" s="1" t="s">
        <v>118</v>
      </c>
      <c r="D106" s="1">
        <f t="shared" si="9"/>
        <v>22</v>
      </c>
      <c r="E106" s="1" t="s">
        <v>78</v>
      </c>
      <c r="F106" s="1" t="s">
        <v>78</v>
      </c>
      <c r="G106" s="1">
        <f t="shared" si="8"/>
        <v>1</v>
      </c>
    </row>
    <row r="107" spans="1:7" x14ac:dyDescent="0.3">
      <c r="A107" s="1">
        <v>142</v>
      </c>
      <c r="B107" s="1">
        <v>106</v>
      </c>
      <c r="C107" s="1" t="s">
        <v>119</v>
      </c>
      <c r="D107" s="1">
        <f t="shared" si="9"/>
        <v>35</v>
      </c>
      <c r="E107" s="1" t="s">
        <v>78</v>
      </c>
      <c r="F107" s="1" t="s">
        <v>78</v>
      </c>
      <c r="G107" s="1">
        <f t="shared" si="8"/>
        <v>1</v>
      </c>
    </row>
    <row r="108" spans="1:7" x14ac:dyDescent="0.3">
      <c r="A108" s="1">
        <v>147</v>
      </c>
      <c r="B108" s="1">
        <v>107</v>
      </c>
      <c r="C108" s="1" t="s">
        <v>120</v>
      </c>
      <c r="D108" s="1">
        <f t="shared" si="9"/>
        <v>35</v>
      </c>
      <c r="E108" s="1" t="s">
        <v>81</v>
      </c>
      <c r="F108" s="1" t="s">
        <v>81</v>
      </c>
      <c r="G108" s="1">
        <f t="shared" si="8"/>
        <v>1</v>
      </c>
    </row>
    <row r="109" spans="1:7" x14ac:dyDescent="0.3">
      <c r="A109" s="1">
        <v>150</v>
      </c>
      <c r="B109" s="1">
        <v>108</v>
      </c>
      <c r="C109" s="1" t="s">
        <v>121</v>
      </c>
      <c r="D109" s="1">
        <f t="shared" si="9"/>
        <v>32</v>
      </c>
      <c r="E109" s="1" t="s">
        <v>79</v>
      </c>
      <c r="F109" s="1" t="s">
        <v>79</v>
      </c>
      <c r="G109" s="1">
        <f t="shared" si="8"/>
        <v>1</v>
      </c>
    </row>
    <row r="110" spans="1:7" x14ac:dyDescent="0.3">
      <c r="A110" s="1">
        <v>151</v>
      </c>
      <c r="B110" s="1">
        <v>109</v>
      </c>
      <c r="C110" s="1" t="s">
        <v>122</v>
      </c>
      <c r="D110" s="1">
        <f t="shared" si="9"/>
        <v>22</v>
      </c>
      <c r="E110" s="1" t="s">
        <v>80</v>
      </c>
      <c r="F110" s="1" t="s">
        <v>80</v>
      </c>
      <c r="G110" s="1">
        <f t="shared" si="8"/>
        <v>1</v>
      </c>
    </row>
    <row r="111" spans="1:7" x14ac:dyDescent="0.3">
      <c r="A111" s="1">
        <v>152</v>
      </c>
      <c r="B111" s="1">
        <v>110</v>
      </c>
      <c r="C111" s="1" t="s">
        <v>123</v>
      </c>
      <c r="D111" s="1">
        <f t="shared" si="9"/>
        <v>76</v>
      </c>
      <c r="E111" s="1" t="s">
        <v>81</v>
      </c>
      <c r="F111" s="1" t="s">
        <v>81</v>
      </c>
      <c r="G111" s="1">
        <f t="shared" si="8"/>
        <v>1</v>
      </c>
    </row>
    <row r="112" spans="1:7" x14ac:dyDescent="0.3">
      <c r="A112" s="1">
        <v>153</v>
      </c>
      <c r="B112" s="1">
        <v>111</v>
      </c>
      <c r="C112" s="1" t="s">
        <v>124</v>
      </c>
      <c r="D112" s="1">
        <f t="shared" si="9"/>
        <v>23</v>
      </c>
      <c r="E112" s="1" t="s">
        <v>77</v>
      </c>
      <c r="F112" s="1" t="s">
        <v>78</v>
      </c>
      <c r="G112" s="1">
        <f t="shared" si="8"/>
        <v>0</v>
      </c>
    </row>
    <row r="113" spans="1:7" x14ac:dyDescent="0.3">
      <c r="A113" s="1">
        <v>156</v>
      </c>
      <c r="B113" s="1">
        <v>112</v>
      </c>
      <c r="C113" s="1" t="s">
        <v>125</v>
      </c>
      <c r="D113" s="1">
        <f t="shared" si="9"/>
        <v>14</v>
      </c>
      <c r="E113" s="1" t="s">
        <v>76</v>
      </c>
      <c r="F113" s="1" t="s">
        <v>82</v>
      </c>
      <c r="G113" s="1">
        <f t="shared" si="8"/>
        <v>0</v>
      </c>
    </row>
    <row r="114" spans="1:7" x14ac:dyDescent="0.3">
      <c r="A114" s="1">
        <v>157</v>
      </c>
      <c r="B114" s="1">
        <v>113</v>
      </c>
      <c r="C114" s="1" t="s">
        <v>126</v>
      </c>
      <c r="D114" s="1">
        <f t="shared" si="9"/>
        <v>34</v>
      </c>
      <c r="E114" s="1" t="s">
        <v>78</v>
      </c>
      <c r="F114" s="1" t="s">
        <v>78</v>
      </c>
      <c r="G114" s="1">
        <f t="shared" si="8"/>
        <v>1</v>
      </c>
    </row>
    <row r="115" spans="1:7" x14ac:dyDescent="0.3">
      <c r="A115" s="1">
        <v>158</v>
      </c>
      <c r="B115" s="1">
        <v>114</v>
      </c>
      <c r="C115" s="1" t="s">
        <v>127</v>
      </c>
      <c r="D115" s="1">
        <f t="shared" si="9"/>
        <v>25</v>
      </c>
      <c r="E115" s="1" t="s">
        <v>80</v>
      </c>
      <c r="F115" s="1" t="s">
        <v>80</v>
      </c>
      <c r="G115" s="1">
        <f t="shared" si="8"/>
        <v>1</v>
      </c>
    </row>
    <row r="116" spans="1:7" x14ac:dyDescent="0.3">
      <c r="A116" s="1">
        <v>159</v>
      </c>
      <c r="B116" s="1">
        <v>115</v>
      </c>
      <c r="C116" s="1" t="s">
        <v>128</v>
      </c>
      <c r="D116" s="1">
        <f t="shared" si="9"/>
        <v>32</v>
      </c>
      <c r="E116" s="1" t="s">
        <v>81</v>
      </c>
      <c r="F116" s="1" t="s">
        <v>82</v>
      </c>
      <c r="G116" s="1">
        <f t="shared" si="8"/>
        <v>0</v>
      </c>
    </row>
    <row r="117" spans="1:7" x14ac:dyDescent="0.3">
      <c r="A117" s="1">
        <v>160</v>
      </c>
      <c r="B117" s="1">
        <v>116</v>
      </c>
      <c r="C117" s="1" t="s">
        <v>129</v>
      </c>
      <c r="D117" s="1">
        <f t="shared" si="9"/>
        <v>13</v>
      </c>
      <c r="E117" s="1" t="s">
        <v>76</v>
      </c>
      <c r="F117" s="1" t="s">
        <v>79</v>
      </c>
      <c r="G117" s="1">
        <f t="shared" si="8"/>
        <v>0</v>
      </c>
    </row>
    <row r="118" spans="1:7" x14ac:dyDescent="0.3">
      <c r="A118" s="1">
        <v>166</v>
      </c>
      <c r="B118" s="1">
        <v>117</v>
      </c>
      <c r="C118" s="1" t="s">
        <v>130</v>
      </c>
      <c r="D118" s="1">
        <f t="shared" si="9"/>
        <v>40</v>
      </c>
      <c r="E118" s="1" t="s">
        <v>80</v>
      </c>
      <c r="F118" s="1" t="s">
        <v>82</v>
      </c>
      <c r="G118" s="1">
        <f t="shared" si="8"/>
        <v>0</v>
      </c>
    </row>
    <row r="119" spans="1:7" x14ac:dyDescent="0.3">
      <c r="A119" s="1">
        <v>170</v>
      </c>
      <c r="B119" s="1">
        <v>118</v>
      </c>
      <c r="C119" s="1" t="s">
        <v>131</v>
      </c>
      <c r="D119" s="1">
        <f t="shared" si="9"/>
        <v>38</v>
      </c>
      <c r="E119" s="1" t="s">
        <v>81</v>
      </c>
      <c r="F119" s="1" t="s">
        <v>78</v>
      </c>
      <c r="G119" s="1">
        <f t="shared" si="8"/>
        <v>0</v>
      </c>
    </row>
    <row r="120" spans="1:7" x14ac:dyDescent="0.3">
      <c r="A120" s="1">
        <v>171</v>
      </c>
      <c r="B120" s="1">
        <v>119</v>
      </c>
      <c r="C120" s="1" t="s">
        <v>132</v>
      </c>
      <c r="D120" s="1">
        <f t="shared" si="9"/>
        <v>24</v>
      </c>
      <c r="E120" s="1" t="s">
        <v>81</v>
      </c>
      <c r="F120" s="1" t="s">
        <v>81</v>
      </c>
      <c r="G120" s="1">
        <f t="shared" si="8"/>
        <v>1</v>
      </c>
    </row>
    <row r="121" spans="1:7" x14ac:dyDescent="0.3">
      <c r="A121" s="1">
        <v>173</v>
      </c>
      <c r="B121" s="1">
        <v>120</v>
      </c>
      <c r="C121" s="1" t="s">
        <v>133</v>
      </c>
      <c r="D121" s="1">
        <f t="shared" si="9"/>
        <v>56</v>
      </c>
      <c r="E121" s="1" t="s">
        <v>81</v>
      </c>
      <c r="F121" s="1" t="s">
        <v>77</v>
      </c>
      <c r="G121" s="1">
        <f t="shared" si="8"/>
        <v>0</v>
      </c>
    </row>
    <row r="122" spans="1:7" x14ac:dyDescent="0.3">
      <c r="A122" s="1">
        <v>174</v>
      </c>
      <c r="B122" s="1">
        <v>121</v>
      </c>
      <c r="C122" s="1" t="s">
        <v>134</v>
      </c>
      <c r="D122" s="1">
        <f t="shared" si="9"/>
        <v>15</v>
      </c>
      <c r="E122" s="1" t="s">
        <v>77</v>
      </c>
      <c r="F122" s="1" t="s">
        <v>80</v>
      </c>
      <c r="G122" s="1">
        <f t="shared" si="8"/>
        <v>0</v>
      </c>
    </row>
    <row r="123" spans="1:7" x14ac:dyDescent="0.3">
      <c r="A123" s="1">
        <v>175</v>
      </c>
      <c r="B123" s="1">
        <v>122</v>
      </c>
      <c r="C123" s="1" t="s">
        <v>135</v>
      </c>
      <c r="D123" s="1">
        <f t="shared" si="9"/>
        <v>38</v>
      </c>
      <c r="E123" s="1" t="s">
        <v>81</v>
      </c>
      <c r="F123" s="1" t="s">
        <v>81</v>
      </c>
      <c r="G123" s="1">
        <f t="shared" si="8"/>
        <v>1</v>
      </c>
    </row>
    <row r="124" spans="1:7" x14ac:dyDescent="0.3">
      <c r="A124" s="1">
        <v>176</v>
      </c>
      <c r="B124" s="1">
        <v>123</v>
      </c>
      <c r="C124" s="1" t="s">
        <v>136</v>
      </c>
      <c r="D124" s="1">
        <f t="shared" si="9"/>
        <v>30</v>
      </c>
      <c r="E124" s="1" t="s">
        <v>76</v>
      </c>
      <c r="F124" s="1" t="s">
        <v>79</v>
      </c>
      <c r="G124" s="1">
        <f t="shared" si="8"/>
        <v>0</v>
      </c>
    </row>
    <row r="125" spans="1:7" x14ac:dyDescent="0.3">
      <c r="A125" s="1">
        <v>178</v>
      </c>
      <c r="B125" s="1">
        <v>124</v>
      </c>
      <c r="C125" s="1" t="s">
        <v>137</v>
      </c>
      <c r="D125" s="1">
        <f t="shared" si="9"/>
        <v>24</v>
      </c>
      <c r="E125" s="1" t="s">
        <v>79</v>
      </c>
      <c r="F125" s="1" t="s">
        <v>79</v>
      </c>
      <c r="G125" s="1">
        <f t="shared" si="8"/>
        <v>1</v>
      </c>
    </row>
    <row r="126" spans="1:7" x14ac:dyDescent="0.3">
      <c r="A126" s="1">
        <v>180</v>
      </c>
      <c r="B126" s="1">
        <v>125</v>
      </c>
      <c r="C126" s="1" t="s">
        <v>138</v>
      </c>
      <c r="D126" s="1">
        <f t="shared" si="9"/>
        <v>40</v>
      </c>
      <c r="E126" s="1" t="s">
        <v>80</v>
      </c>
      <c r="F126" s="1" t="s">
        <v>82</v>
      </c>
      <c r="G126" s="1">
        <f t="shared" si="8"/>
        <v>0</v>
      </c>
    </row>
    <row r="127" spans="1:7" x14ac:dyDescent="0.3">
      <c r="A127" s="1">
        <v>181</v>
      </c>
      <c r="B127" s="1">
        <v>126</v>
      </c>
      <c r="C127" s="1" t="s">
        <v>139</v>
      </c>
      <c r="D127" s="1">
        <f t="shared" si="9"/>
        <v>20</v>
      </c>
      <c r="E127" s="1" t="s">
        <v>76</v>
      </c>
      <c r="F127" s="1" t="s">
        <v>78</v>
      </c>
      <c r="G127" s="1">
        <f t="shared" si="8"/>
        <v>0</v>
      </c>
    </row>
    <row r="128" spans="1:7" x14ac:dyDescent="0.3">
      <c r="A128" s="1">
        <v>182</v>
      </c>
      <c r="B128" s="1">
        <v>127</v>
      </c>
      <c r="C128" s="1" t="s">
        <v>140</v>
      </c>
      <c r="D128" s="1">
        <f t="shared" si="9"/>
        <v>28</v>
      </c>
      <c r="E128" s="1" t="s">
        <v>81</v>
      </c>
      <c r="F128" s="1" t="s">
        <v>82</v>
      </c>
      <c r="G128" s="1">
        <f t="shared" si="8"/>
        <v>0</v>
      </c>
    </row>
    <row r="129" spans="1:7" x14ac:dyDescent="0.3">
      <c r="A129" s="1">
        <v>185</v>
      </c>
      <c r="B129" s="1">
        <v>128</v>
      </c>
      <c r="C129" s="1" t="s">
        <v>141</v>
      </c>
      <c r="D129" s="1">
        <f t="shared" si="9"/>
        <v>13</v>
      </c>
      <c r="E129" s="1" t="s">
        <v>81</v>
      </c>
      <c r="F129" s="1" t="s">
        <v>81</v>
      </c>
      <c r="G129" s="1">
        <f t="shared" si="8"/>
        <v>1</v>
      </c>
    </row>
    <row r="130" spans="1:7" x14ac:dyDescent="0.3">
      <c r="A130" s="1">
        <v>186</v>
      </c>
      <c r="B130" s="1">
        <v>129</v>
      </c>
      <c r="C130" s="1" t="s">
        <v>142</v>
      </c>
      <c r="D130" s="1">
        <f t="shared" si="9"/>
        <v>14</v>
      </c>
      <c r="E130" s="1" t="s">
        <v>82</v>
      </c>
      <c r="F130" s="1" t="s">
        <v>82</v>
      </c>
      <c r="G130" s="1">
        <f t="shared" ref="G130:G193" si="10">IF(E130=F130, 1, 0)</f>
        <v>1</v>
      </c>
    </row>
    <row r="131" spans="1:7" x14ac:dyDescent="0.3">
      <c r="A131" s="1">
        <v>187</v>
      </c>
      <c r="B131" s="1">
        <v>130</v>
      </c>
      <c r="C131" s="1" t="s">
        <v>143</v>
      </c>
      <c r="D131" s="1">
        <f t="shared" ref="D131:D194" si="11">LEN(C131)</f>
        <v>36</v>
      </c>
      <c r="E131" s="1" t="s">
        <v>77</v>
      </c>
      <c r="F131" s="1" t="s">
        <v>77</v>
      </c>
      <c r="G131" s="1">
        <f t="shared" si="10"/>
        <v>1</v>
      </c>
    </row>
    <row r="132" spans="1:7" x14ac:dyDescent="0.3">
      <c r="A132" s="1">
        <v>190</v>
      </c>
      <c r="B132" s="1">
        <v>131</v>
      </c>
      <c r="C132" s="1" t="s">
        <v>144</v>
      </c>
      <c r="D132" s="1">
        <f t="shared" si="11"/>
        <v>34</v>
      </c>
      <c r="E132" s="1" t="s">
        <v>80</v>
      </c>
      <c r="F132" s="1" t="s">
        <v>80</v>
      </c>
      <c r="G132" s="1">
        <f t="shared" si="10"/>
        <v>1</v>
      </c>
    </row>
    <row r="133" spans="1:7" x14ac:dyDescent="0.3">
      <c r="A133" s="1">
        <v>192</v>
      </c>
      <c r="B133" s="1">
        <v>132</v>
      </c>
      <c r="C133" s="1" t="s">
        <v>145</v>
      </c>
      <c r="D133" s="1">
        <f t="shared" si="11"/>
        <v>36</v>
      </c>
      <c r="E133" s="1" t="s">
        <v>76</v>
      </c>
      <c r="F133" s="1" t="s">
        <v>76</v>
      </c>
      <c r="G133" s="1">
        <f t="shared" si="10"/>
        <v>1</v>
      </c>
    </row>
    <row r="134" spans="1:7" x14ac:dyDescent="0.3">
      <c r="A134" s="1">
        <v>193</v>
      </c>
      <c r="B134" s="1">
        <v>133</v>
      </c>
      <c r="C134" s="1" t="s">
        <v>146</v>
      </c>
      <c r="D134" s="1">
        <f t="shared" si="11"/>
        <v>46</v>
      </c>
      <c r="E134" s="1" t="s">
        <v>76</v>
      </c>
      <c r="F134" s="1" t="s">
        <v>76</v>
      </c>
      <c r="G134" s="1">
        <f t="shared" si="10"/>
        <v>1</v>
      </c>
    </row>
    <row r="135" spans="1:7" x14ac:dyDescent="0.3">
      <c r="A135" s="1">
        <v>195</v>
      </c>
      <c r="B135" s="1">
        <v>134</v>
      </c>
      <c r="C135" s="1" t="s">
        <v>147</v>
      </c>
      <c r="D135" s="1">
        <f t="shared" si="11"/>
        <v>22</v>
      </c>
      <c r="E135" s="1" t="s">
        <v>76</v>
      </c>
      <c r="F135" s="1" t="s">
        <v>79</v>
      </c>
      <c r="G135" s="1">
        <f t="shared" si="10"/>
        <v>0</v>
      </c>
    </row>
    <row r="136" spans="1:7" x14ac:dyDescent="0.3">
      <c r="A136" s="1">
        <v>198</v>
      </c>
      <c r="B136" s="1">
        <v>135</v>
      </c>
      <c r="C136" s="1" t="s">
        <v>148</v>
      </c>
      <c r="D136" s="1">
        <f t="shared" si="11"/>
        <v>39</v>
      </c>
      <c r="E136" s="1" t="s">
        <v>78</v>
      </c>
      <c r="F136" s="1" t="s">
        <v>78</v>
      </c>
      <c r="G136" s="1">
        <f t="shared" si="10"/>
        <v>1</v>
      </c>
    </row>
    <row r="137" spans="1:7" x14ac:dyDescent="0.3">
      <c r="A137" s="1">
        <v>201</v>
      </c>
      <c r="B137" s="1">
        <v>136</v>
      </c>
      <c r="C137" s="1" t="s">
        <v>149</v>
      </c>
      <c r="D137" s="1">
        <f t="shared" si="11"/>
        <v>42</v>
      </c>
      <c r="E137" s="1" t="s">
        <v>81</v>
      </c>
      <c r="F137" s="1" t="s">
        <v>81</v>
      </c>
      <c r="G137" s="1">
        <f t="shared" si="10"/>
        <v>1</v>
      </c>
    </row>
    <row r="138" spans="1:7" x14ac:dyDescent="0.3">
      <c r="A138" s="1">
        <v>204</v>
      </c>
      <c r="B138" s="1">
        <v>137</v>
      </c>
      <c r="C138" s="1" t="s">
        <v>150</v>
      </c>
      <c r="D138" s="1">
        <f t="shared" si="11"/>
        <v>21</v>
      </c>
      <c r="E138" s="1" t="s">
        <v>80</v>
      </c>
      <c r="F138" s="1" t="s">
        <v>80</v>
      </c>
      <c r="G138" s="1">
        <f t="shared" si="10"/>
        <v>1</v>
      </c>
    </row>
    <row r="139" spans="1:7" x14ac:dyDescent="0.3">
      <c r="A139" s="1">
        <v>207</v>
      </c>
      <c r="B139" s="1">
        <v>138</v>
      </c>
      <c r="C139" s="1" t="s">
        <v>151</v>
      </c>
      <c r="D139" s="1">
        <f t="shared" si="11"/>
        <v>46</v>
      </c>
      <c r="E139" s="1" t="s">
        <v>80</v>
      </c>
      <c r="F139" s="1" t="s">
        <v>80</v>
      </c>
      <c r="G139" s="1">
        <f t="shared" si="10"/>
        <v>1</v>
      </c>
    </row>
    <row r="140" spans="1:7" x14ac:dyDescent="0.3">
      <c r="A140" s="1">
        <v>208</v>
      </c>
      <c r="B140" s="1">
        <v>139</v>
      </c>
      <c r="C140" s="1" t="s">
        <v>152</v>
      </c>
      <c r="D140" s="1">
        <f t="shared" si="11"/>
        <v>60</v>
      </c>
      <c r="E140" s="1" t="s">
        <v>81</v>
      </c>
      <c r="F140" s="1" t="s">
        <v>77</v>
      </c>
      <c r="G140" s="1">
        <f t="shared" si="10"/>
        <v>0</v>
      </c>
    </row>
    <row r="141" spans="1:7" x14ac:dyDescent="0.3">
      <c r="A141" s="1">
        <v>209</v>
      </c>
      <c r="B141" s="1">
        <v>140</v>
      </c>
      <c r="C141" s="1" t="s">
        <v>153</v>
      </c>
      <c r="D141" s="1">
        <f t="shared" si="11"/>
        <v>14</v>
      </c>
      <c r="E141" s="1" t="s">
        <v>79</v>
      </c>
      <c r="F141" s="1" t="s">
        <v>79</v>
      </c>
      <c r="G141" s="1">
        <f t="shared" si="10"/>
        <v>1</v>
      </c>
    </row>
    <row r="142" spans="1:7" x14ac:dyDescent="0.3">
      <c r="A142" s="1">
        <v>221</v>
      </c>
      <c r="B142" s="1">
        <v>141</v>
      </c>
      <c r="C142" s="1" t="s">
        <v>154</v>
      </c>
      <c r="D142" s="1">
        <f t="shared" si="11"/>
        <v>28</v>
      </c>
      <c r="E142" s="1" t="s">
        <v>78</v>
      </c>
      <c r="F142" s="1" t="s">
        <v>78</v>
      </c>
      <c r="G142" s="1">
        <f t="shared" si="10"/>
        <v>1</v>
      </c>
    </row>
    <row r="143" spans="1:7" x14ac:dyDescent="0.3">
      <c r="A143" s="1">
        <v>223</v>
      </c>
      <c r="B143" s="1">
        <v>142</v>
      </c>
      <c r="C143" s="1" t="s">
        <v>155</v>
      </c>
      <c r="D143" s="1">
        <f t="shared" si="11"/>
        <v>33</v>
      </c>
      <c r="E143" s="1" t="s">
        <v>79</v>
      </c>
      <c r="F143" s="1" t="s">
        <v>79</v>
      </c>
      <c r="G143" s="1">
        <f t="shared" si="10"/>
        <v>1</v>
      </c>
    </row>
    <row r="144" spans="1:7" x14ac:dyDescent="0.3">
      <c r="A144" s="1">
        <v>225</v>
      </c>
      <c r="B144" s="1">
        <v>143</v>
      </c>
      <c r="C144" s="1" t="s">
        <v>156</v>
      </c>
      <c r="D144" s="1">
        <f t="shared" si="11"/>
        <v>86</v>
      </c>
      <c r="E144" s="1" t="s">
        <v>76</v>
      </c>
      <c r="F144" s="1" t="s">
        <v>81</v>
      </c>
      <c r="G144" s="1">
        <f t="shared" si="10"/>
        <v>0</v>
      </c>
    </row>
    <row r="145" spans="1:7" x14ac:dyDescent="0.3">
      <c r="A145" s="1">
        <v>227</v>
      </c>
      <c r="B145" s="1">
        <v>144</v>
      </c>
      <c r="C145" s="1" t="s">
        <v>157</v>
      </c>
      <c r="D145" s="1">
        <f t="shared" si="11"/>
        <v>16</v>
      </c>
      <c r="E145" s="1" t="s">
        <v>78</v>
      </c>
      <c r="F145" s="1" t="s">
        <v>80</v>
      </c>
      <c r="G145" s="1">
        <f t="shared" si="10"/>
        <v>0</v>
      </c>
    </row>
    <row r="146" spans="1:7" x14ac:dyDescent="0.3">
      <c r="A146" s="1">
        <v>229</v>
      </c>
      <c r="B146" s="1">
        <v>145</v>
      </c>
      <c r="C146" s="1" t="s">
        <v>158</v>
      </c>
      <c r="D146" s="1">
        <f t="shared" si="11"/>
        <v>29</v>
      </c>
      <c r="E146" s="1" t="s">
        <v>76</v>
      </c>
      <c r="F146" s="1" t="s">
        <v>76</v>
      </c>
      <c r="G146" s="1">
        <f t="shared" si="10"/>
        <v>1</v>
      </c>
    </row>
    <row r="147" spans="1:7" x14ac:dyDescent="0.3">
      <c r="A147" s="1">
        <v>230</v>
      </c>
      <c r="B147" s="1">
        <v>146</v>
      </c>
      <c r="C147" s="1" t="s">
        <v>159</v>
      </c>
      <c r="D147" s="1">
        <f t="shared" si="11"/>
        <v>28</v>
      </c>
      <c r="E147" s="1" t="s">
        <v>77</v>
      </c>
      <c r="F147" s="1" t="s">
        <v>82</v>
      </c>
      <c r="G147" s="1">
        <f t="shared" si="10"/>
        <v>0</v>
      </c>
    </row>
    <row r="148" spans="1:7" x14ac:dyDescent="0.3">
      <c r="A148" s="1">
        <v>232</v>
      </c>
      <c r="B148" s="1">
        <v>147</v>
      </c>
      <c r="C148" s="1" t="s">
        <v>160</v>
      </c>
      <c r="D148" s="1">
        <f t="shared" si="11"/>
        <v>23</v>
      </c>
      <c r="E148" s="1" t="s">
        <v>80</v>
      </c>
      <c r="F148" s="1" t="s">
        <v>80</v>
      </c>
      <c r="G148" s="1">
        <f t="shared" si="10"/>
        <v>1</v>
      </c>
    </row>
    <row r="149" spans="1:7" x14ac:dyDescent="0.3">
      <c r="A149" s="1">
        <v>234</v>
      </c>
      <c r="B149" s="1">
        <v>148</v>
      </c>
      <c r="C149" s="1" t="s">
        <v>161</v>
      </c>
      <c r="D149" s="1">
        <f t="shared" si="11"/>
        <v>28</v>
      </c>
      <c r="E149" s="1" t="s">
        <v>77</v>
      </c>
      <c r="F149" s="1" t="s">
        <v>77</v>
      </c>
      <c r="G149" s="1">
        <f t="shared" si="10"/>
        <v>1</v>
      </c>
    </row>
    <row r="150" spans="1:7" x14ac:dyDescent="0.3">
      <c r="A150" s="1">
        <v>237</v>
      </c>
      <c r="B150" s="1">
        <v>149</v>
      </c>
      <c r="C150" s="1" t="s">
        <v>162</v>
      </c>
      <c r="D150" s="1">
        <f t="shared" si="11"/>
        <v>25</v>
      </c>
      <c r="E150" s="1" t="s">
        <v>81</v>
      </c>
      <c r="F150" s="1" t="s">
        <v>81</v>
      </c>
      <c r="G150" s="1">
        <f t="shared" si="10"/>
        <v>1</v>
      </c>
    </row>
    <row r="151" spans="1:7" x14ac:dyDescent="0.3">
      <c r="A151" s="1">
        <v>240</v>
      </c>
      <c r="B151" s="1">
        <v>150</v>
      </c>
      <c r="C151" s="1" t="s">
        <v>163</v>
      </c>
      <c r="D151" s="1">
        <f t="shared" si="11"/>
        <v>24</v>
      </c>
      <c r="E151" s="1" t="s">
        <v>76</v>
      </c>
      <c r="F151" s="1" t="s">
        <v>76</v>
      </c>
      <c r="G151" s="1">
        <f t="shared" si="10"/>
        <v>1</v>
      </c>
    </row>
    <row r="152" spans="1:7" x14ac:dyDescent="0.3">
      <c r="A152" s="1">
        <v>241</v>
      </c>
      <c r="B152" s="1">
        <v>151</v>
      </c>
      <c r="C152" s="1" t="s">
        <v>164</v>
      </c>
      <c r="D152" s="1">
        <f t="shared" si="11"/>
        <v>6</v>
      </c>
      <c r="E152" s="1" t="s">
        <v>76</v>
      </c>
      <c r="F152" s="1" t="s">
        <v>81</v>
      </c>
      <c r="G152" s="1">
        <f t="shared" si="10"/>
        <v>0</v>
      </c>
    </row>
    <row r="153" spans="1:7" x14ac:dyDescent="0.3">
      <c r="A153" s="1">
        <v>242</v>
      </c>
      <c r="B153" s="1">
        <v>152</v>
      </c>
      <c r="C153" s="1" t="s">
        <v>165</v>
      </c>
      <c r="D153" s="1">
        <f t="shared" si="11"/>
        <v>43</v>
      </c>
      <c r="E153" s="1" t="s">
        <v>81</v>
      </c>
      <c r="F153" s="1" t="s">
        <v>79</v>
      </c>
      <c r="G153" s="1">
        <f t="shared" si="10"/>
        <v>0</v>
      </c>
    </row>
    <row r="154" spans="1:7" x14ac:dyDescent="0.3">
      <c r="A154" s="1">
        <v>245</v>
      </c>
      <c r="B154" s="1">
        <v>153</v>
      </c>
      <c r="C154" s="1" t="s">
        <v>166</v>
      </c>
      <c r="D154" s="1">
        <f t="shared" si="11"/>
        <v>41</v>
      </c>
      <c r="E154" s="1" t="s">
        <v>81</v>
      </c>
      <c r="F154" s="1" t="s">
        <v>81</v>
      </c>
      <c r="G154" s="1">
        <f t="shared" si="10"/>
        <v>1</v>
      </c>
    </row>
    <row r="155" spans="1:7" x14ac:dyDescent="0.3">
      <c r="A155" s="1">
        <v>248</v>
      </c>
      <c r="B155" s="1">
        <v>154</v>
      </c>
      <c r="C155" s="1" t="s">
        <v>167</v>
      </c>
      <c r="D155" s="1">
        <f t="shared" si="11"/>
        <v>47</v>
      </c>
      <c r="E155" s="1" t="s">
        <v>77</v>
      </c>
      <c r="F155" s="1" t="s">
        <v>80</v>
      </c>
      <c r="G155" s="1">
        <f t="shared" si="10"/>
        <v>0</v>
      </c>
    </row>
    <row r="156" spans="1:7" x14ac:dyDescent="0.3">
      <c r="A156" s="1">
        <v>251</v>
      </c>
      <c r="B156" s="1">
        <v>155</v>
      </c>
      <c r="C156" s="1" t="s">
        <v>168</v>
      </c>
      <c r="D156" s="1">
        <f t="shared" si="11"/>
        <v>30</v>
      </c>
      <c r="E156" s="1" t="s">
        <v>79</v>
      </c>
      <c r="F156" s="1" t="s">
        <v>79</v>
      </c>
      <c r="G156" s="1">
        <f t="shared" si="10"/>
        <v>1</v>
      </c>
    </row>
    <row r="157" spans="1:7" x14ac:dyDescent="0.3">
      <c r="A157" s="1">
        <v>255</v>
      </c>
      <c r="B157" s="1">
        <v>156</v>
      </c>
      <c r="C157" s="1" t="s">
        <v>169</v>
      </c>
      <c r="D157" s="1">
        <f t="shared" si="11"/>
        <v>47</v>
      </c>
      <c r="E157" s="1" t="s">
        <v>81</v>
      </c>
      <c r="F157" s="1" t="s">
        <v>77</v>
      </c>
      <c r="G157" s="1">
        <f t="shared" si="10"/>
        <v>0</v>
      </c>
    </row>
    <row r="158" spans="1:7" x14ac:dyDescent="0.3">
      <c r="A158" s="1">
        <v>256</v>
      </c>
      <c r="B158" s="1">
        <v>157</v>
      </c>
      <c r="C158" s="1" t="s">
        <v>170</v>
      </c>
      <c r="D158" s="1">
        <f t="shared" si="11"/>
        <v>12</v>
      </c>
      <c r="E158" s="1" t="s">
        <v>76</v>
      </c>
      <c r="F158" s="1" t="s">
        <v>77</v>
      </c>
      <c r="G158" s="1">
        <f t="shared" si="10"/>
        <v>0</v>
      </c>
    </row>
    <row r="159" spans="1:7" x14ac:dyDescent="0.3">
      <c r="A159" s="1">
        <v>257</v>
      </c>
      <c r="B159" s="1">
        <v>158</v>
      </c>
      <c r="C159" s="1" t="s">
        <v>171</v>
      </c>
      <c r="D159" s="1">
        <f t="shared" si="11"/>
        <v>15</v>
      </c>
      <c r="E159" s="1" t="s">
        <v>81</v>
      </c>
      <c r="F159" s="1" t="s">
        <v>81</v>
      </c>
      <c r="G159" s="1">
        <f t="shared" si="10"/>
        <v>1</v>
      </c>
    </row>
    <row r="160" spans="1:7" x14ac:dyDescent="0.3">
      <c r="A160" s="1">
        <v>266</v>
      </c>
      <c r="B160" s="1">
        <v>159</v>
      </c>
      <c r="C160" s="1" t="s">
        <v>172</v>
      </c>
      <c r="D160" s="1">
        <f t="shared" si="11"/>
        <v>30</v>
      </c>
      <c r="E160" s="1" t="s">
        <v>76</v>
      </c>
      <c r="F160" s="1" t="s">
        <v>82</v>
      </c>
      <c r="G160" s="1">
        <f t="shared" si="10"/>
        <v>0</v>
      </c>
    </row>
    <row r="161" spans="1:7" x14ac:dyDescent="0.3">
      <c r="A161" s="1">
        <v>273</v>
      </c>
      <c r="B161" s="1">
        <v>160</v>
      </c>
      <c r="C161" s="1" t="s">
        <v>173</v>
      </c>
      <c r="D161" s="1">
        <f t="shared" si="11"/>
        <v>15</v>
      </c>
      <c r="E161" s="1" t="s">
        <v>80</v>
      </c>
      <c r="F161" s="1" t="s">
        <v>77</v>
      </c>
      <c r="G161" s="1">
        <f t="shared" si="10"/>
        <v>0</v>
      </c>
    </row>
    <row r="162" spans="1:7" x14ac:dyDescent="0.3">
      <c r="A162" s="1">
        <v>276</v>
      </c>
      <c r="B162" s="1">
        <v>161</v>
      </c>
      <c r="C162" s="1" t="s">
        <v>174</v>
      </c>
      <c r="D162" s="1">
        <f t="shared" si="11"/>
        <v>17</v>
      </c>
      <c r="E162" s="1" t="s">
        <v>76</v>
      </c>
      <c r="F162" s="1" t="s">
        <v>77</v>
      </c>
      <c r="G162" s="1">
        <f t="shared" si="10"/>
        <v>0</v>
      </c>
    </row>
    <row r="163" spans="1:7" x14ac:dyDescent="0.3">
      <c r="A163" s="1">
        <v>277</v>
      </c>
      <c r="B163" s="1">
        <v>162</v>
      </c>
      <c r="C163" s="1" t="s">
        <v>175</v>
      </c>
      <c r="D163" s="1">
        <f t="shared" si="11"/>
        <v>8</v>
      </c>
      <c r="E163" s="1" t="s">
        <v>76</v>
      </c>
      <c r="F163" s="1" t="s">
        <v>81</v>
      </c>
      <c r="G163" s="1">
        <f t="shared" si="10"/>
        <v>0</v>
      </c>
    </row>
    <row r="164" spans="1:7" x14ac:dyDescent="0.3">
      <c r="A164" s="1">
        <v>279</v>
      </c>
      <c r="B164" s="1">
        <v>163</v>
      </c>
      <c r="C164" s="1" t="s">
        <v>176</v>
      </c>
      <c r="D164" s="1">
        <f t="shared" si="11"/>
        <v>16</v>
      </c>
      <c r="E164" s="1" t="s">
        <v>81</v>
      </c>
      <c r="F164" s="1" t="s">
        <v>78</v>
      </c>
      <c r="G164" s="1">
        <f t="shared" si="10"/>
        <v>0</v>
      </c>
    </row>
    <row r="165" spans="1:7" x14ac:dyDescent="0.3">
      <c r="A165" s="1">
        <v>283</v>
      </c>
      <c r="B165" s="1">
        <v>164</v>
      </c>
      <c r="C165" s="1" t="s">
        <v>177</v>
      </c>
      <c r="D165" s="1">
        <f t="shared" si="11"/>
        <v>28</v>
      </c>
      <c r="E165" s="1" t="s">
        <v>79</v>
      </c>
      <c r="F165" s="1" t="s">
        <v>79</v>
      </c>
      <c r="G165" s="1">
        <f t="shared" si="10"/>
        <v>1</v>
      </c>
    </row>
    <row r="166" spans="1:7" x14ac:dyDescent="0.3">
      <c r="A166" s="1">
        <v>290</v>
      </c>
      <c r="B166" s="1">
        <v>165</v>
      </c>
      <c r="C166" s="1" t="s">
        <v>178</v>
      </c>
      <c r="D166" s="1">
        <f t="shared" si="11"/>
        <v>24</v>
      </c>
      <c r="E166" s="1" t="s">
        <v>76</v>
      </c>
      <c r="F166" s="1" t="s">
        <v>77</v>
      </c>
      <c r="G166" s="1">
        <f t="shared" si="10"/>
        <v>0</v>
      </c>
    </row>
    <row r="167" spans="1:7" x14ac:dyDescent="0.3">
      <c r="A167" s="1">
        <v>294</v>
      </c>
      <c r="B167" s="1">
        <v>166</v>
      </c>
      <c r="C167" s="1" t="s">
        <v>179</v>
      </c>
      <c r="D167" s="1">
        <f t="shared" si="11"/>
        <v>40</v>
      </c>
      <c r="E167" s="1" t="s">
        <v>76</v>
      </c>
      <c r="F167" s="1" t="s">
        <v>76</v>
      </c>
      <c r="G167" s="1">
        <f t="shared" si="10"/>
        <v>1</v>
      </c>
    </row>
    <row r="168" spans="1:7" x14ac:dyDescent="0.3">
      <c r="A168" s="1">
        <v>295</v>
      </c>
      <c r="B168" s="1">
        <v>167</v>
      </c>
      <c r="C168" s="1" t="s">
        <v>180</v>
      </c>
      <c r="D168" s="1">
        <f t="shared" si="11"/>
        <v>13</v>
      </c>
      <c r="E168" s="1" t="s">
        <v>78</v>
      </c>
      <c r="F168" s="1" t="s">
        <v>78</v>
      </c>
      <c r="G168" s="1">
        <f t="shared" si="10"/>
        <v>1</v>
      </c>
    </row>
    <row r="169" spans="1:7" x14ac:dyDescent="0.3">
      <c r="A169" s="1">
        <v>297</v>
      </c>
      <c r="B169" s="1">
        <v>168</v>
      </c>
      <c r="C169" s="1" t="s">
        <v>181</v>
      </c>
      <c r="D169" s="1">
        <f t="shared" si="11"/>
        <v>27</v>
      </c>
      <c r="E169" s="1" t="s">
        <v>76</v>
      </c>
      <c r="F169" s="1" t="s">
        <v>82</v>
      </c>
      <c r="G169" s="1">
        <f t="shared" si="10"/>
        <v>0</v>
      </c>
    </row>
    <row r="170" spans="1:7" x14ac:dyDescent="0.3">
      <c r="A170" s="1">
        <v>298</v>
      </c>
      <c r="B170" s="1">
        <v>169</v>
      </c>
      <c r="C170" s="1" t="s">
        <v>182</v>
      </c>
      <c r="D170" s="1">
        <f t="shared" si="11"/>
        <v>45</v>
      </c>
      <c r="E170" s="1" t="s">
        <v>76</v>
      </c>
      <c r="F170" s="1" t="s">
        <v>82</v>
      </c>
      <c r="G170" s="1">
        <f t="shared" si="10"/>
        <v>0</v>
      </c>
    </row>
    <row r="171" spans="1:7" x14ac:dyDescent="0.3">
      <c r="A171" s="1">
        <v>301</v>
      </c>
      <c r="B171" s="1">
        <v>170</v>
      </c>
      <c r="C171" s="1" t="s">
        <v>183</v>
      </c>
      <c r="D171" s="1">
        <f t="shared" si="11"/>
        <v>29</v>
      </c>
      <c r="E171" s="1" t="s">
        <v>77</v>
      </c>
      <c r="F171" s="1" t="s">
        <v>82</v>
      </c>
      <c r="G171" s="1">
        <f t="shared" si="10"/>
        <v>0</v>
      </c>
    </row>
    <row r="172" spans="1:7" x14ac:dyDescent="0.3">
      <c r="A172" s="1">
        <v>305</v>
      </c>
      <c r="B172" s="1">
        <v>171</v>
      </c>
      <c r="C172" s="1" t="s">
        <v>184</v>
      </c>
      <c r="D172" s="1">
        <f t="shared" si="11"/>
        <v>25</v>
      </c>
      <c r="E172" s="1" t="s">
        <v>76</v>
      </c>
      <c r="F172" s="1" t="s">
        <v>79</v>
      </c>
      <c r="G172" s="1">
        <f t="shared" si="10"/>
        <v>0</v>
      </c>
    </row>
    <row r="173" spans="1:7" x14ac:dyDescent="0.3">
      <c r="A173" s="1">
        <v>306</v>
      </c>
      <c r="B173" s="1">
        <v>172</v>
      </c>
      <c r="C173" s="1" t="s">
        <v>185</v>
      </c>
      <c r="D173" s="1">
        <f t="shared" si="11"/>
        <v>37</v>
      </c>
      <c r="E173" s="1" t="s">
        <v>77</v>
      </c>
      <c r="F173" s="1" t="s">
        <v>77</v>
      </c>
      <c r="G173" s="1">
        <f t="shared" si="10"/>
        <v>1</v>
      </c>
    </row>
    <row r="174" spans="1:7" x14ac:dyDescent="0.3">
      <c r="A174" s="1">
        <v>307</v>
      </c>
      <c r="B174" s="1">
        <v>173</v>
      </c>
      <c r="C174" s="1" t="s">
        <v>186</v>
      </c>
      <c r="D174" s="1">
        <f t="shared" si="11"/>
        <v>40</v>
      </c>
      <c r="E174" s="1" t="s">
        <v>77</v>
      </c>
      <c r="F174" s="1" t="s">
        <v>80</v>
      </c>
      <c r="G174" s="1">
        <f t="shared" si="10"/>
        <v>0</v>
      </c>
    </row>
    <row r="175" spans="1:7" x14ac:dyDescent="0.3">
      <c r="A175" s="1">
        <v>308</v>
      </c>
      <c r="B175" s="1">
        <v>174</v>
      </c>
      <c r="C175" s="1" t="s">
        <v>187</v>
      </c>
      <c r="D175" s="1">
        <f t="shared" si="11"/>
        <v>20</v>
      </c>
      <c r="E175" s="1" t="s">
        <v>79</v>
      </c>
      <c r="F175" s="1" t="s">
        <v>78</v>
      </c>
      <c r="G175" s="1">
        <f t="shared" si="10"/>
        <v>0</v>
      </c>
    </row>
    <row r="176" spans="1:7" x14ac:dyDescent="0.3">
      <c r="A176" s="1">
        <v>313</v>
      </c>
      <c r="B176" s="1">
        <v>175</v>
      </c>
      <c r="C176" s="1" t="s">
        <v>188</v>
      </c>
      <c r="D176" s="1">
        <f t="shared" si="11"/>
        <v>32</v>
      </c>
      <c r="E176" s="1" t="s">
        <v>80</v>
      </c>
      <c r="F176" s="1" t="s">
        <v>80</v>
      </c>
      <c r="G176" s="1">
        <f t="shared" si="10"/>
        <v>1</v>
      </c>
    </row>
    <row r="177" spans="1:7" x14ac:dyDescent="0.3">
      <c r="A177" s="1">
        <v>315</v>
      </c>
      <c r="B177" s="1">
        <v>176</v>
      </c>
      <c r="C177" s="1" t="s">
        <v>189</v>
      </c>
      <c r="D177" s="1">
        <f t="shared" si="11"/>
        <v>27</v>
      </c>
      <c r="E177" s="1" t="s">
        <v>79</v>
      </c>
      <c r="F177" s="1" t="s">
        <v>79</v>
      </c>
      <c r="G177" s="1">
        <f t="shared" si="10"/>
        <v>1</v>
      </c>
    </row>
    <row r="178" spans="1:7" x14ac:dyDescent="0.3">
      <c r="A178" s="1">
        <v>318</v>
      </c>
      <c r="B178" s="1">
        <v>177</v>
      </c>
      <c r="C178" s="1" t="s">
        <v>190</v>
      </c>
      <c r="D178" s="1">
        <f t="shared" si="11"/>
        <v>16</v>
      </c>
      <c r="E178" s="1" t="s">
        <v>76</v>
      </c>
      <c r="F178" s="1" t="s">
        <v>80</v>
      </c>
      <c r="G178" s="1">
        <f t="shared" si="10"/>
        <v>0</v>
      </c>
    </row>
    <row r="179" spans="1:7" x14ac:dyDescent="0.3">
      <c r="A179" s="1">
        <v>319</v>
      </c>
      <c r="B179" s="1">
        <v>178</v>
      </c>
      <c r="C179" s="1" t="s">
        <v>191</v>
      </c>
      <c r="D179" s="1">
        <f t="shared" si="11"/>
        <v>29</v>
      </c>
      <c r="E179" s="1" t="s">
        <v>77</v>
      </c>
      <c r="F179" s="1" t="s">
        <v>78</v>
      </c>
      <c r="G179" s="1">
        <f t="shared" si="10"/>
        <v>0</v>
      </c>
    </row>
    <row r="180" spans="1:7" x14ac:dyDescent="0.3">
      <c r="A180" s="1">
        <v>324</v>
      </c>
      <c r="B180" s="1">
        <v>179</v>
      </c>
      <c r="C180" s="1" t="s">
        <v>192</v>
      </c>
      <c r="D180" s="1">
        <f t="shared" si="11"/>
        <v>10</v>
      </c>
      <c r="E180" s="1" t="s">
        <v>79</v>
      </c>
      <c r="F180" s="1" t="s">
        <v>79</v>
      </c>
      <c r="G180" s="1">
        <f t="shared" si="10"/>
        <v>1</v>
      </c>
    </row>
    <row r="181" spans="1:7" x14ac:dyDescent="0.3">
      <c r="A181" s="1">
        <v>328</v>
      </c>
      <c r="B181" s="1">
        <v>180</v>
      </c>
      <c r="C181" s="1" t="s">
        <v>193</v>
      </c>
      <c r="D181" s="1">
        <f t="shared" si="11"/>
        <v>47</v>
      </c>
      <c r="E181" s="1" t="s">
        <v>81</v>
      </c>
      <c r="F181" s="1" t="s">
        <v>82</v>
      </c>
      <c r="G181" s="1">
        <f t="shared" si="10"/>
        <v>0</v>
      </c>
    </row>
    <row r="182" spans="1:7" x14ac:dyDescent="0.3">
      <c r="A182" s="1">
        <v>331</v>
      </c>
      <c r="B182" s="1">
        <v>181</v>
      </c>
      <c r="C182" s="1" t="s">
        <v>194</v>
      </c>
      <c r="D182" s="1">
        <f t="shared" si="11"/>
        <v>17</v>
      </c>
      <c r="E182" s="1" t="s">
        <v>81</v>
      </c>
      <c r="F182" s="1" t="s">
        <v>79</v>
      </c>
      <c r="G182" s="1">
        <f t="shared" si="10"/>
        <v>0</v>
      </c>
    </row>
    <row r="183" spans="1:7" x14ac:dyDescent="0.3">
      <c r="A183" s="1">
        <v>332</v>
      </c>
      <c r="B183" s="1">
        <v>182</v>
      </c>
      <c r="C183" s="1" t="s">
        <v>195</v>
      </c>
      <c r="D183" s="1">
        <f t="shared" si="11"/>
        <v>13</v>
      </c>
      <c r="E183" s="1" t="s">
        <v>76</v>
      </c>
      <c r="F183" s="1" t="s">
        <v>76</v>
      </c>
      <c r="G183" s="1">
        <f t="shared" si="10"/>
        <v>1</v>
      </c>
    </row>
    <row r="184" spans="1:7" x14ac:dyDescent="0.3">
      <c r="A184" s="1">
        <v>334</v>
      </c>
      <c r="B184" s="1">
        <v>183</v>
      </c>
      <c r="C184" s="1" t="s">
        <v>196</v>
      </c>
      <c r="D184" s="1">
        <f t="shared" si="11"/>
        <v>16</v>
      </c>
      <c r="E184" s="1" t="s">
        <v>76</v>
      </c>
      <c r="F184" s="1" t="s">
        <v>82</v>
      </c>
      <c r="G184" s="1">
        <f t="shared" si="10"/>
        <v>0</v>
      </c>
    </row>
    <row r="185" spans="1:7" x14ac:dyDescent="0.3">
      <c r="A185" s="1">
        <v>339</v>
      </c>
      <c r="B185" s="1">
        <v>184</v>
      </c>
      <c r="C185" s="1" t="s">
        <v>197</v>
      </c>
      <c r="D185" s="1">
        <f t="shared" si="11"/>
        <v>26</v>
      </c>
      <c r="E185" s="1" t="s">
        <v>79</v>
      </c>
      <c r="F185" s="1" t="s">
        <v>76</v>
      </c>
      <c r="G185" s="1">
        <f t="shared" si="10"/>
        <v>0</v>
      </c>
    </row>
    <row r="186" spans="1:7" x14ac:dyDescent="0.3">
      <c r="A186" s="1">
        <v>340</v>
      </c>
      <c r="B186" s="1">
        <v>185</v>
      </c>
      <c r="C186" s="1" t="s">
        <v>198</v>
      </c>
      <c r="D186" s="1">
        <f t="shared" si="11"/>
        <v>30</v>
      </c>
      <c r="E186" s="1" t="s">
        <v>81</v>
      </c>
      <c r="F186" s="1" t="s">
        <v>79</v>
      </c>
      <c r="G186" s="1">
        <f t="shared" si="10"/>
        <v>0</v>
      </c>
    </row>
    <row r="187" spans="1:7" x14ac:dyDescent="0.3">
      <c r="A187" s="1">
        <v>343</v>
      </c>
      <c r="B187" s="1">
        <v>186</v>
      </c>
      <c r="C187" s="1" t="s">
        <v>199</v>
      </c>
      <c r="D187" s="1">
        <f t="shared" si="11"/>
        <v>39</v>
      </c>
      <c r="E187" s="1" t="s">
        <v>76</v>
      </c>
      <c r="F187" s="1" t="s">
        <v>78</v>
      </c>
      <c r="G187" s="1">
        <f t="shared" si="10"/>
        <v>0</v>
      </c>
    </row>
    <row r="188" spans="1:7" x14ac:dyDescent="0.3">
      <c r="A188" s="1">
        <v>346</v>
      </c>
      <c r="B188" s="1">
        <v>187</v>
      </c>
      <c r="C188" s="1" t="s">
        <v>200</v>
      </c>
      <c r="D188" s="1">
        <f t="shared" si="11"/>
        <v>64</v>
      </c>
      <c r="E188" s="1" t="s">
        <v>81</v>
      </c>
      <c r="F188" s="1" t="s">
        <v>81</v>
      </c>
      <c r="G188" s="1">
        <f t="shared" si="10"/>
        <v>1</v>
      </c>
    </row>
    <row r="189" spans="1:7" x14ac:dyDescent="0.3">
      <c r="A189" s="1">
        <v>353</v>
      </c>
      <c r="B189" s="1">
        <v>188</v>
      </c>
      <c r="C189" s="1" t="s">
        <v>201</v>
      </c>
      <c r="D189" s="1">
        <f t="shared" si="11"/>
        <v>63</v>
      </c>
      <c r="E189" s="1" t="s">
        <v>76</v>
      </c>
      <c r="F189" s="1" t="s">
        <v>77</v>
      </c>
      <c r="G189" s="1">
        <f t="shared" si="10"/>
        <v>0</v>
      </c>
    </row>
    <row r="190" spans="1:7" x14ac:dyDescent="0.3">
      <c r="A190" s="1">
        <v>355</v>
      </c>
      <c r="B190" s="1">
        <v>189</v>
      </c>
      <c r="C190" s="1" t="s">
        <v>202</v>
      </c>
      <c r="D190" s="1">
        <f t="shared" si="11"/>
        <v>29</v>
      </c>
      <c r="E190" s="1" t="s">
        <v>81</v>
      </c>
      <c r="F190" s="1" t="s">
        <v>80</v>
      </c>
      <c r="G190" s="1">
        <f t="shared" si="10"/>
        <v>0</v>
      </c>
    </row>
    <row r="191" spans="1:7" x14ac:dyDescent="0.3">
      <c r="A191" s="1">
        <v>365</v>
      </c>
      <c r="B191" s="1">
        <v>190</v>
      </c>
      <c r="C191" s="1" t="s">
        <v>203</v>
      </c>
      <c r="D191" s="1">
        <f t="shared" si="11"/>
        <v>4</v>
      </c>
      <c r="E191" s="1" t="s">
        <v>76</v>
      </c>
      <c r="F191" s="1" t="s">
        <v>80</v>
      </c>
      <c r="G191" s="1">
        <f t="shared" si="10"/>
        <v>0</v>
      </c>
    </row>
    <row r="192" spans="1:7" x14ac:dyDescent="0.3">
      <c r="A192" s="1">
        <v>366</v>
      </c>
      <c r="B192" s="1">
        <v>191</v>
      </c>
      <c r="C192" s="1" t="s">
        <v>204</v>
      </c>
      <c r="D192" s="1">
        <f t="shared" si="11"/>
        <v>28</v>
      </c>
      <c r="E192" s="1" t="s">
        <v>78</v>
      </c>
      <c r="F192" s="1" t="s">
        <v>78</v>
      </c>
      <c r="G192" s="1">
        <f t="shared" si="10"/>
        <v>1</v>
      </c>
    </row>
    <row r="193" spans="1:7" x14ac:dyDescent="0.3">
      <c r="A193" s="1">
        <v>370</v>
      </c>
      <c r="B193" s="1">
        <v>192</v>
      </c>
      <c r="C193" s="1" t="s">
        <v>205</v>
      </c>
      <c r="D193" s="1">
        <f t="shared" si="11"/>
        <v>49</v>
      </c>
      <c r="E193" s="1" t="s">
        <v>77</v>
      </c>
      <c r="F193" s="1" t="s">
        <v>82</v>
      </c>
      <c r="G193" s="1">
        <f t="shared" si="10"/>
        <v>0</v>
      </c>
    </row>
    <row r="194" spans="1:7" x14ac:dyDescent="0.3">
      <c r="A194" s="1">
        <v>377</v>
      </c>
      <c r="B194" s="1">
        <v>193</v>
      </c>
      <c r="C194" s="1" t="s">
        <v>206</v>
      </c>
      <c r="D194" s="1">
        <f t="shared" si="11"/>
        <v>44</v>
      </c>
      <c r="E194" s="1" t="s">
        <v>76</v>
      </c>
      <c r="F194" s="1" t="s">
        <v>76</v>
      </c>
      <c r="G194" s="1">
        <f t="shared" ref="G194:G210" si="12">IF(E194=F194, 1, 0)</f>
        <v>1</v>
      </c>
    </row>
    <row r="195" spans="1:7" x14ac:dyDescent="0.3">
      <c r="A195" s="1">
        <v>378</v>
      </c>
      <c r="B195" s="1">
        <v>194</v>
      </c>
      <c r="C195" s="1" t="s">
        <v>207</v>
      </c>
      <c r="D195" s="1">
        <f t="shared" ref="D195:D210" si="13">LEN(C195)</f>
        <v>22</v>
      </c>
      <c r="E195" s="1" t="s">
        <v>81</v>
      </c>
      <c r="F195" s="1" t="s">
        <v>82</v>
      </c>
      <c r="G195" s="1">
        <f t="shared" si="12"/>
        <v>0</v>
      </c>
    </row>
    <row r="196" spans="1:7" x14ac:dyDescent="0.3">
      <c r="A196" s="1">
        <v>379</v>
      </c>
      <c r="B196" s="1">
        <v>195</v>
      </c>
      <c r="C196" s="1" t="s">
        <v>208</v>
      </c>
      <c r="D196" s="1">
        <f t="shared" si="13"/>
        <v>18</v>
      </c>
      <c r="E196" s="1" t="s">
        <v>76</v>
      </c>
      <c r="F196" s="1" t="s">
        <v>77</v>
      </c>
      <c r="G196" s="1">
        <f t="shared" si="12"/>
        <v>0</v>
      </c>
    </row>
    <row r="197" spans="1:7" x14ac:dyDescent="0.3">
      <c r="A197" s="1">
        <v>381</v>
      </c>
      <c r="B197" s="1">
        <v>196</v>
      </c>
      <c r="C197" s="1" t="s">
        <v>209</v>
      </c>
      <c r="D197" s="1">
        <f t="shared" si="13"/>
        <v>18</v>
      </c>
      <c r="E197" s="1" t="s">
        <v>76</v>
      </c>
      <c r="F197" s="1" t="s">
        <v>77</v>
      </c>
      <c r="G197" s="1">
        <f t="shared" si="12"/>
        <v>0</v>
      </c>
    </row>
    <row r="198" spans="1:7" x14ac:dyDescent="0.3">
      <c r="A198" s="1">
        <v>382</v>
      </c>
      <c r="B198" s="1">
        <v>197</v>
      </c>
      <c r="C198" s="1" t="s">
        <v>210</v>
      </c>
      <c r="D198" s="1">
        <f t="shared" si="13"/>
        <v>43</v>
      </c>
      <c r="E198" s="1" t="s">
        <v>81</v>
      </c>
      <c r="F198" s="1" t="s">
        <v>81</v>
      </c>
      <c r="G198" s="1">
        <f t="shared" si="12"/>
        <v>1</v>
      </c>
    </row>
    <row r="199" spans="1:7" x14ac:dyDescent="0.3">
      <c r="A199" s="1">
        <v>387</v>
      </c>
      <c r="B199" s="1">
        <v>198</v>
      </c>
      <c r="C199" s="1" t="s">
        <v>211</v>
      </c>
      <c r="D199" s="1">
        <f t="shared" si="13"/>
        <v>9</v>
      </c>
      <c r="E199" s="1" t="s">
        <v>77</v>
      </c>
      <c r="F199" s="1" t="s">
        <v>81</v>
      </c>
      <c r="G199" s="1">
        <f t="shared" si="12"/>
        <v>0</v>
      </c>
    </row>
    <row r="200" spans="1:7" x14ac:dyDescent="0.3">
      <c r="A200" s="1">
        <v>389</v>
      </c>
      <c r="B200" s="1">
        <v>199</v>
      </c>
      <c r="C200" s="1" t="s">
        <v>212</v>
      </c>
      <c r="D200" s="1">
        <f t="shared" si="13"/>
        <v>25</v>
      </c>
      <c r="E200" s="1" t="s">
        <v>78</v>
      </c>
      <c r="F200" s="1" t="s">
        <v>78</v>
      </c>
      <c r="G200" s="1">
        <f t="shared" si="12"/>
        <v>1</v>
      </c>
    </row>
    <row r="201" spans="1:7" x14ac:dyDescent="0.3">
      <c r="A201" s="1">
        <v>393</v>
      </c>
      <c r="B201" s="1">
        <v>200</v>
      </c>
      <c r="C201" s="1" t="s">
        <v>213</v>
      </c>
      <c r="D201" s="1">
        <f t="shared" si="13"/>
        <v>20</v>
      </c>
      <c r="E201" s="1" t="s">
        <v>76</v>
      </c>
      <c r="F201" s="1" t="s">
        <v>76</v>
      </c>
      <c r="G201" s="1">
        <f t="shared" si="12"/>
        <v>1</v>
      </c>
    </row>
    <row r="202" spans="1:7" x14ac:dyDescent="0.3">
      <c r="A202" s="1">
        <v>398</v>
      </c>
      <c r="B202" s="1">
        <v>201</v>
      </c>
      <c r="C202" s="1" t="s">
        <v>214</v>
      </c>
      <c r="D202" s="1">
        <f t="shared" si="13"/>
        <v>16</v>
      </c>
      <c r="E202" s="1" t="s">
        <v>76</v>
      </c>
      <c r="F202" s="1" t="s">
        <v>76</v>
      </c>
      <c r="G202" s="1">
        <f t="shared" si="12"/>
        <v>1</v>
      </c>
    </row>
    <row r="203" spans="1:7" x14ac:dyDescent="0.3">
      <c r="A203" s="1">
        <v>403</v>
      </c>
      <c r="B203" s="1">
        <v>202</v>
      </c>
      <c r="C203" s="1" t="s">
        <v>215</v>
      </c>
      <c r="D203" s="1">
        <f t="shared" si="13"/>
        <v>59</v>
      </c>
      <c r="E203" s="1" t="s">
        <v>81</v>
      </c>
      <c r="F203" s="1" t="s">
        <v>81</v>
      </c>
      <c r="G203" s="1">
        <f t="shared" si="12"/>
        <v>1</v>
      </c>
    </row>
    <row r="204" spans="1:7" x14ac:dyDescent="0.3">
      <c r="A204" s="1">
        <v>404</v>
      </c>
      <c r="B204" s="1">
        <v>203</v>
      </c>
      <c r="C204" s="1" t="s">
        <v>216</v>
      </c>
      <c r="D204" s="1">
        <f t="shared" si="13"/>
        <v>46</v>
      </c>
      <c r="E204" s="1" t="s">
        <v>78</v>
      </c>
      <c r="F204" s="1" t="s">
        <v>78</v>
      </c>
      <c r="G204" s="1">
        <f t="shared" si="12"/>
        <v>1</v>
      </c>
    </row>
    <row r="205" spans="1:7" x14ac:dyDescent="0.3">
      <c r="A205" s="1">
        <v>406</v>
      </c>
      <c r="B205" s="1">
        <v>204</v>
      </c>
      <c r="C205" s="1" t="s">
        <v>217</v>
      </c>
      <c r="D205" s="1">
        <f t="shared" si="13"/>
        <v>50</v>
      </c>
      <c r="E205" s="1" t="s">
        <v>76</v>
      </c>
      <c r="F205" s="1" t="s">
        <v>76</v>
      </c>
      <c r="G205" s="1">
        <f t="shared" si="12"/>
        <v>1</v>
      </c>
    </row>
    <row r="206" spans="1:7" x14ac:dyDescent="0.3">
      <c r="A206" s="1">
        <v>407</v>
      </c>
      <c r="B206" s="1">
        <v>205</v>
      </c>
      <c r="C206" s="1" t="s">
        <v>218</v>
      </c>
      <c r="D206" s="1">
        <f t="shared" si="13"/>
        <v>19</v>
      </c>
      <c r="E206" s="1" t="s">
        <v>78</v>
      </c>
      <c r="F206" s="1" t="s">
        <v>78</v>
      </c>
      <c r="G206" s="1">
        <f t="shared" si="12"/>
        <v>1</v>
      </c>
    </row>
    <row r="207" spans="1:7" x14ac:dyDescent="0.3">
      <c r="A207" s="1">
        <v>409</v>
      </c>
      <c r="B207" s="1">
        <v>206</v>
      </c>
      <c r="C207" s="1" t="s">
        <v>219</v>
      </c>
      <c r="D207" s="1">
        <f t="shared" si="13"/>
        <v>38</v>
      </c>
      <c r="E207" s="1" t="s">
        <v>76</v>
      </c>
      <c r="F207" s="1" t="s">
        <v>76</v>
      </c>
      <c r="G207" s="1">
        <f t="shared" si="12"/>
        <v>1</v>
      </c>
    </row>
    <row r="208" spans="1:7" x14ac:dyDescent="0.3">
      <c r="A208" s="1">
        <v>413</v>
      </c>
      <c r="B208" s="1">
        <v>207</v>
      </c>
      <c r="C208" s="1" t="s">
        <v>220</v>
      </c>
      <c r="D208" s="1">
        <f t="shared" si="13"/>
        <v>45</v>
      </c>
      <c r="E208" s="1" t="s">
        <v>81</v>
      </c>
      <c r="F208" s="1" t="s">
        <v>80</v>
      </c>
      <c r="G208" s="1">
        <f t="shared" si="12"/>
        <v>0</v>
      </c>
    </row>
    <row r="209" spans="1:7" x14ac:dyDescent="0.3">
      <c r="A209" s="1">
        <v>418</v>
      </c>
      <c r="B209" s="1">
        <v>208</v>
      </c>
      <c r="C209" s="1" t="s">
        <v>221</v>
      </c>
      <c r="D209" s="1">
        <f t="shared" si="13"/>
        <v>48</v>
      </c>
      <c r="E209" s="1" t="s">
        <v>77</v>
      </c>
      <c r="F209" s="1" t="s">
        <v>80</v>
      </c>
      <c r="G209" s="1">
        <f t="shared" si="12"/>
        <v>0</v>
      </c>
    </row>
    <row r="210" spans="1:7" x14ac:dyDescent="0.3">
      <c r="A210" s="1">
        <v>420</v>
      </c>
      <c r="B210" s="1">
        <v>209</v>
      </c>
      <c r="C210" s="1" t="s">
        <v>222</v>
      </c>
      <c r="D210" s="1">
        <f t="shared" si="13"/>
        <v>32</v>
      </c>
      <c r="E210" s="1" t="s">
        <v>79</v>
      </c>
      <c r="F210" s="1" t="s">
        <v>79</v>
      </c>
      <c r="G210" s="1">
        <f t="shared" si="12"/>
        <v>1</v>
      </c>
    </row>
  </sheetData>
  <autoFilter ref="F1:F210" xr:uid="{D61488F8-24AF-4B87-A0D3-A52B2D8CC2E4}"/>
  <mergeCells count="2">
    <mergeCell ref="I4:L4"/>
    <mergeCell ref="I19:J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Trial3</vt:lpstr>
      <vt:lpstr>Sheet1</vt:lpstr>
      <vt:lpstr>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2025-03-07T09:34:27Z</dcterms:created>
  <dcterms:modified xsi:type="dcterms:W3CDTF">2025-04-21T20:42:50Z</dcterms:modified>
</cp:coreProperties>
</file>