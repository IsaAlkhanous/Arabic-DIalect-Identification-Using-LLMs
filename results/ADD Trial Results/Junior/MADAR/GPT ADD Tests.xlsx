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"/>
    </mc:Choice>
  </mc:AlternateContent>
  <xr:revisionPtr revIDLastSave="0" documentId="13_ncr:1_{99B1D747-FF80-43B5-B7E1-B1D39C7B05BF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J17" i="3"/>
  <c r="I17" i="3"/>
  <c r="I16" i="3"/>
  <c r="I15" i="3"/>
  <c r="C3" i="3" a="1"/>
  <c r="C3" i="3" s="1"/>
  <c r="C4" i="3" a="1"/>
  <c r="C4" i="3" s="1"/>
  <c r="C5" i="3" a="1"/>
  <c r="C5" i="3" s="1"/>
  <c r="C6" i="3" a="1"/>
  <c r="C6" i="3"/>
  <c r="C7" i="3" a="1"/>
  <c r="C7" i="3" s="1"/>
  <c r="C8" i="3" a="1"/>
  <c r="C8" i="3" s="1"/>
  <c r="C9" i="3" a="1"/>
  <c r="C9" i="3" s="1"/>
  <c r="C10" i="3" a="1"/>
  <c r="C10" i="3"/>
  <c r="C11" i="3" a="1"/>
  <c r="C11" i="3" s="1"/>
  <c r="C12" i="3" a="1"/>
  <c r="C12" i="3" s="1"/>
  <c r="C13" i="3" a="1"/>
  <c r="C13" i="3" s="1"/>
  <c r="C14" i="3" a="1"/>
  <c r="C14" i="3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/>
  <c r="C39" i="3" a="1"/>
  <c r="C39" i="3" s="1"/>
  <c r="C40" i="3" a="1"/>
  <c r="C40" i="3" s="1"/>
  <c r="C41" i="3" a="1"/>
  <c r="C41" i="3" s="1"/>
  <c r="C42" i="3" a="1"/>
  <c r="C42" i="3"/>
  <c r="C43" i="3" a="1"/>
  <c r="C43" i="3" s="1"/>
  <c r="C44" i="3" a="1"/>
  <c r="C44" i="3" s="1"/>
  <c r="C45" i="3" a="1"/>
  <c r="C45" i="3" s="1"/>
  <c r="C46" i="3" a="1"/>
  <c r="C46" i="3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/>
  <c r="C67" i="3" a="1"/>
  <c r="C67" i="3" s="1"/>
  <c r="C68" i="3" a="1"/>
  <c r="C68" i="3" s="1"/>
  <c r="C69" i="3" a="1"/>
  <c r="C69" i="3" s="1"/>
  <c r="C70" i="3" a="1"/>
  <c r="C70" i="3"/>
  <c r="C71" i="3" a="1"/>
  <c r="C71" i="3" s="1"/>
  <c r="C72" i="3" a="1"/>
  <c r="C72" i="3" s="1"/>
  <c r="C73" i="3" a="1"/>
  <c r="C73" i="3" s="1"/>
  <c r="C74" i="3" a="1"/>
  <c r="C74" i="3"/>
  <c r="C75" i="3" a="1"/>
  <c r="C75" i="3" s="1"/>
  <c r="C76" i="3" a="1"/>
  <c r="C76" i="3" s="1"/>
  <c r="C77" i="3" a="1"/>
  <c r="C77" i="3" s="1"/>
  <c r="C78" i="3" a="1"/>
  <c r="C78" i="3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/>
  <c r="C99" i="3" a="1"/>
  <c r="C99" i="3" s="1"/>
  <c r="C100" i="3" a="1"/>
  <c r="C100" i="3" s="1"/>
  <c r="C101" i="3" a="1"/>
  <c r="C101" i="3" s="1"/>
  <c r="C102" i="3" a="1"/>
  <c r="C102" i="3"/>
  <c r="C103" i="3" a="1"/>
  <c r="C103" i="3" s="1"/>
  <c r="C104" i="3" a="1"/>
  <c r="C104" i="3" s="1"/>
  <c r="C105" i="3" a="1"/>
  <c r="C105" i="3" s="1"/>
  <c r="C106" i="3" a="1"/>
  <c r="C106" i="3"/>
  <c r="C107" i="3" a="1"/>
  <c r="C107" i="3" s="1"/>
  <c r="C108" i="3" a="1"/>
  <c r="C108" i="3" s="1"/>
  <c r="C109" i="3" a="1"/>
  <c r="C109" i="3" s="1"/>
  <c r="C110" i="3" a="1"/>
  <c r="C110" i="3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/>
  <c r="C131" i="3" a="1"/>
  <c r="C131" i="3" s="1"/>
  <c r="C132" i="3" a="1"/>
  <c r="C132" i="3" s="1"/>
  <c r="C133" i="3" a="1"/>
  <c r="C133" i="3" s="1"/>
  <c r="C134" i="3" a="1"/>
  <c r="C134" i="3"/>
  <c r="C135" i="3" a="1"/>
  <c r="C135" i="3" s="1"/>
  <c r="C136" i="3" a="1"/>
  <c r="C136" i="3" s="1"/>
  <c r="C137" i="3" a="1"/>
  <c r="C137" i="3" s="1"/>
  <c r="C138" i="3" a="1"/>
  <c r="C138" i="3"/>
  <c r="C139" i="3" a="1"/>
  <c r="C139" i="3" s="1"/>
  <c r="C140" i="3" a="1"/>
  <c r="C140" i="3" s="1"/>
  <c r="C141" i="3" a="1"/>
  <c r="C141" i="3" s="1"/>
  <c r="C142" i="3" a="1"/>
  <c r="C142" i="3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/>
  <c r="C163" i="3" a="1"/>
  <c r="C163" i="3" s="1"/>
  <c r="C164" i="3" a="1"/>
  <c r="C164" i="3" s="1"/>
  <c r="C165" i="3" a="1"/>
  <c r="C165" i="3" s="1"/>
  <c r="C166" i="3" a="1"/>
  <c r="C166" i="3"/>
  <c r="C167" i="3" a="1"/>
  <c r="C167" i="3" s="1"/>
  <c r="C168" i="3" a="1"/>
  <c r="C168" i="3" s="1"/>
  <c r="C169" i="3" a="1"/>
  <c r="C169" i="3" s="1"/>
  <c r="C170" i="3" a="1"/>
  <c r="C170" i="3"/>
  <c r="C171" i="3" a="1"/>
  <c r="C171" i="3" s="1"/>
  <c r="C172" i="3" a="1"/>
  <c r="C172" i="3" s="1"/>
  <c r="C173" i="3" a="1"/>
  <c r="C173" i="3" s="1"/>
  <c r="C174" i="3" a="1"/>
  <c r="C174" i="3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/>
  <c r="C195" i="3" a="1"/>
  <c r="C195" i="3" s="1"/>
  <c r="C196" i="3" a="1"/>
  <c r="C196" i="3" s="1"/>
  <c r="C197" i="3" a="1"/>
  <c r="C197" i="3" s="1"/>
  <c r="C198" i="3" a="1"/>
  <c r="C198" i="3"/>
  <c r="C199" i="3" a="1"/>
  <c r="C199" i="3" s="1"/>
  <c r="C200" i="3" a="1"/>
  <c r="C200" i="3" s="1"/>
  <c r="C201" i="3" a="1"/>
  <c r="C201" i="3" s="1"/>
  <c r="C202" i="3" a="1"/>
  <c r="C202" i="3"/>
  <c r="C203" i="3" a="1"/>
  <c r="C203" i="3" s="1"/>
  <c r="C204" i="3" a="1"/>
  <c r="C204" i="3" s="1"/>
  <c r="C205" i="3" a="1"/>
  <c r="C205" i="3" s="1"/>
  <c r="C206" i="3" a="1"/>
  <c r="C206" i="3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J16" i="3" s="1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/>
  <c r="C11" i="2" a="1"/>
  <c r="C11" i="2" s="1"/>
  <c r="C12" i="2" a="1"/>
  <c r="C12" i="2" s="1"/>
  <c r="C13" i="2" a="1"/>
  <c r="C13" i="2" s="1"/>
  <c r="C14" i="2" a="1"/>
  <c r="C14" i="2"/>
  <c r="C15" i="2" a="1"/>
  <c r="C15" i="2" s="1"/>
  <c r="C16" i="2" a="1"/>
  <c r="C16" i="2" s="1"/>
  <c r="C17" i="2" a="1"/>
  <c r="C17" i="2" s="1"/>
  <c r="C18" i="2" a="1"/>
  <c r="C18" i="2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/>
  <c r="C31" i="2" a="1"/>
  <c r="C31" i="2" s="1"/>
  <c r="C32" i="2" a="1"/>
  <c r="C32" i="2" s="1"/>
  <c r="C33" i="2" a="1"/>
  <c r="C33" i="2" s="1"/>
  <c r="C34" i="2" a="1"/>
  <c r="C34" i="2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/>
  <c r="C43" i="2" a="1"/>
  <c r="C43" i="2" s="1"/>
  <c r="C44" i="2" a="1"/>
  <c r="C44" i="2" s="1"/>
  <c r="C45" i="2" a="1"/>
  <c r="C45" i="2" s="1"/>
  <c r="C46" i="2" a="1"/>
  <c r="C46" i="2"/>
  <c r="C47" i="2" a="1"/>
  <c r="C47" i="2" s="1"/>
  <c r="C48" i="2" a="1"/>
  <c r="C48" i="2" s="1"/>
  <c r="C49" i="2" a="1"/>
  <c r="C49" i="2" s="1"/>
  <c r="C50" i="2" a="1"/>
  <c r="C50" i="2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/>
  <c r="C63" i="2" a="1"/>
  <c r="C63" i="2" s="1"/>
  <c r="C64" i="2" a="1"/>
  <c r="C64" i="2" s="1"/>
  <c r="C65" i="2" a="1"/>
  <c r="C65" i="2" s="1"/>
  <c r="C66" i="2" a="1"/>
  <c r="C66" i="2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/>
  <c r="C75" i="2" a="1"/>
  <c r="C75" i="2" s="1"/>
  <c r="C76" i="2" a="1"/>
  <c r="C76" i="2" s="1"/>
  <c r="C77" i="2" a="1"/>
  <c r="C77" i="2" s="1"/>
  <c r="C78" i="2" a="1"/>
  <c r="C78" i="2"/>
  <c r="C79" i="2" a="1"/>
  <c r="C79" i="2" s="1"/>
  <c r="C80" i="2" a="1"/>
  <c r="C80" i="2" s="1"/>
  <c r="C81" i="2" a="1"/>
  <c r="C81" i="2" s="1"/>
  <c r="C82" i="2" a="1"/>
  <c r="C82" i="2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/>
  <c r="C95" i="2" a="1"/>
  <c r="C95" i="2" s="1"/>
  <c r="C96" i="2" a="1"/>
  <c r="C96" i="2" s="1"/>
  <c r="C97" i="2" a="1"/>
  <c r="C97" i="2" s="1"/>
  <c r="C98" i="2" a="1"/>
  <c r="C98" i="2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/>
  <c r="C107" i="2" a="1"/>
  <c r="C107" i="2" s="1"/>
  <c r="C108" i="2" a="1"/>
  <c r="C108" i="2" s="1"/>
  <c r="C109" i="2" a="1"/>
  <c r="C109" i="2" s="1"/>
  <c r="C110" i="2" a="1"/>
  <c r="C110" i="2"/>
  <c r="C111" i="2" a="1"/>
  <c r="C111" i="2" s="1"/>
  <c r="C112" i="2" a="1"/>
  <c r="C112" i="2" s="1"/>
  <c r="C113" i="2" a="1"/>
  <c r="C113" i="2" s="1"/>
  <c r="C114" i="2" a="1"/>
  <c r="C114" i="2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/>
  <c r="C127" i="2" a="1"/>
  <c r="C127" i="2" s="1"/>
  <c r="C128" i="2" a="1"/>
  <c r="C128" i="2" s="1"/>
  <c r="C129" i="2" a="1"/>
  <c r="C129" i="2" s="1"/>
  <c r="C130" i="2" a="1"/>
  <c r="C130" i="2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I2" i="1" s="1"/>
  <c r="C3" i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K29" i="2" s="1"/>
  <c r="J28" i="2"/>
  <c r="J27" i="2"/>
  <c r="J26" i="2"/>
  <c r="J25" i="2"/>
  <c r="J24" i="2"/>
  <c r="J23" i="2"/>
  <c r="J22" i="2"/>
  <c r="J21" i="2"/>
  <c r="K21" i="2" s="1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K7" i="1" s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I2" i="2"/>
  <c r="J2" i="2" s="1"/>
  <c r="J15" i="3"/>
  <c r="I16" i="2"/>
  <c r="I15" i="2"/>
  <c r="J17" i="2"/>
  <c r="K17" i="2" s="1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J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6" i="2" l="1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<sst xmlns="http://schemas.openxmlformats.org/spreadsheetml/2006/main" count="2222" uniqueCount="264">
  <si>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</si>
  <si>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</si>
  <si>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</si>
  <si>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</si>
  <si>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</si>
  <si>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</si>
  <si>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</si>
  <si>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</si>
  <si>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</si>
  <si>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</si>
  <si>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</si>
  <si>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</si>
  <si>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</si>
  <si>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</si>
  <si>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</si>
  <si>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</si>
  <si>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</si>
  <si>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</si>
  <si>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</si>
  <si>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</si>
  <si>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</si>
  <si>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</si>
  <si>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</si>
  <si>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</si>
  <si>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</si>
  <si>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</si>
  <si>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</si>
  <si>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</si>
  <si>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</si>
  <si>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</si>
  <si>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</si>
  <si>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</si>
  <si>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</si>
  <si>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</si>
  <si>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</si>
  <si>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</si>
  <si>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</si>
  <si>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</si>
  <si>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</si>
  <si>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</si>
  <si>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</si>
  <si>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</si>
  <si>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</si>
  <si>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</si>
  <si>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</si>
  <si>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</si>
  <si>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</si>
  <si>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</si>
  <si>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</si>
  <si>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</si>
  <si>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</si>
  <si>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</si>
  <si>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</si>
  <si>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</si>
  <si>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</si>
  <si>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</si>
  <si>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</si>
  <si>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</si>
  <si>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</si>
  <si>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</si>
  <si>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</si>
  <si>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</si>
  <si>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</si>
  <si>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</si>
  <si>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</si>
  <si>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</si>
  <si>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</si>
  <si>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</si>
  <si>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</si>
  <si>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</si>
  <si>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</si>
  <si>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</si>
  <si>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</si>
  <si>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</si>
  <si>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</si>
  <si>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</si>
  <si>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</si>
  <si>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</si>
  <si>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</si>
  <si>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</si>
  <si>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</si>
  <si>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</si>
  <si>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</si>
  <si>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</si>
  <si>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</si>
  <si>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</si>
  <si>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</si>
  <si>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</si>
  <si>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</si>
  <si>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</si>
  <si>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</si>
  <si>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</si>
  <si>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</si>
  <si>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</si>
  <si>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</si>
  <si>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</si>
  <si>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</si>
  <si>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</si>
  <si>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</si>
  <si>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</si>
  <si>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</si>
  <si>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</si>
  <si>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</si>
  <si>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</si>
  <si>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</si>
  <si>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</si>
  <si>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</si>
  <si>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</si>
  <si>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</si>
  <si>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</si>
  <si>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</si>
  <si>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</si>
  <si>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</si>
  <si>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</si>
  <si>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</si>
  <si>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</si>
  <si>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</si>
  <si>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</si>
  <si>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</si>
  <si>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</si>
  <si>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</si>
  <si>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</si>
  <si>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</si>
  <si>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</si>
  <si>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</si>
  <si>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</si>
  <si>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</si>
  <si>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</si>
  <si>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</si>
  <si>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</si>
  <si>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</si>
  <si>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</si>
  <si>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</si>
  <si>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</si>
  <si>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</si>
  <si>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</si>
  <si>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</si>
  <si>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</si>
  <si>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</si>
  <si>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</si>
  <si>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</si>
  <si>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</si>
  <si>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</si>
  <si>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</si>
  <si>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</si>
  <si>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</si>
  <si>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</si>
  <si>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</si>
  <si>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</si>
  <si>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</si>
  <si>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</si>
  <si>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</si>
  <si>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</si>
  <si>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</si>
  <si>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</si>
  <si>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</si>
  <si>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</si>
  <si>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</si>
  <si>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</si>
  <si>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</si>
  <si>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</si>
  <si>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</si>
  <si>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</si>
  <si>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</si>
  <si>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</si>
  <si>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</si>
  <si>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</si>
  <si>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</si>
  <si>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</si>
  <si>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</si>
  <si>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</si>
  <si>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</si>
  <si>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</si>
  <si>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</si>
  <si>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</si>
  <si>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</si>
  <si>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</si>
  <si>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</si>
  <si>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</si>
  <si>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</si>
  <si>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</si>
  <si>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</si>
  <si>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</si>
  <si>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</si>
  <si>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</si>
  <si>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</si>
  <si>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</si>
  <si>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</si>
  <si>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</si>
  <si>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</si>
  <si>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</si>
  <si>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</si>
  <si>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</si>
  <si>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</si>
  <si>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</si>
  <si>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</si>
  <si>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</si>
  <si>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</si>
  <si>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</si>
  <si>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</si>
  <si>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</si>
  <si>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</si>
  <si>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</si>
  <si>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</si>
  <si>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</si>
  <si>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</si>
  <si>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</si>
  <si>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</si>
  <si>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</si>
  <si>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</si>
  <si>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</si>
  <si>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</si>
  <si>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</si>
  <si>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</si>
  <si>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</si>
  <si>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</si>
  <si>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</si>
  <si>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</si>
  <si>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</si>
  <si>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</si>
  <si>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</si>
  <si>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</si>
  <si>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</si>
  <si>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</si>
  <si>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</si>
  <si>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</si>
  <si>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</si>
  <si>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</si>
  <si>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</si>
  <si>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</si>
  <si>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</si>
  <si>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</si>
  <si>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</si>
  <si>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</si>
  <si>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</si>
  <si>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</si>
  <si>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</si>
  <si>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</si>
  <si>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</si>
  <si>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</si>
  <si>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</si>
  <si>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</si>
  <si>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</si>
  <si>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</si>
  <si>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</si>
  <si>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</si>
  <si>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</si>
  <si>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</si>
  <si>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</si>
  <si>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</si>
  <si>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</si>
  <si>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</si>
  <si>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</si>
  <si>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</si>
  <si>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</si>
  <si>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</si>
  <si>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</si>
  <si>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</si>
  <si>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</si>
  <si>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</si>
  <si>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</si>
  <si>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TRUE</t>
  </si>
  <si>
    <t>Sum of Answers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</si>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</sst>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3</c:v>
                </c:pt>
                <c:pt idx="1">
                  <c:v>10</c:v>
                </c:pt>
                <c:pt idx="2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68-4056-BC06-DAF9BF382AFB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68-4056-BC06-DAF9BF382AFB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27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68-4056-BC06-DAF9BF382AFB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18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68-4056-BC06-DAF9BF382AFB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4">
                  <c:v>2</c:v>
                </c:pt>
                <c:pt idx="5">
                  <c:v>15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68-4056-BC06-DAF9BF382AFB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4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- 210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11</c:v>
                </c:pt>
                <c:pt idx="1">
                  <c:v>41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7</c:v>
                </c:pt>
                <c:pt idx="1">
                  <c:v>54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Tests.xlsx]T3PT!PivotTable5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T3PT!$B$19:$B$20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T3PT!$A$21:$A$27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T3PT!$B$21:$B$27</c:f>
              <c:numCache>
                <c:formatCode>General</c:formatCode>
                <c:ptCount val="7"/>
                <c:pt idx="0">
                  <c:v>11</c:v>
                </c:pt>
                <c:pt idx="1">
                  <c:v>10</c:v>
                </c:pt>
                <c:pt idx="2">
                  <c:v>11</c:v>
                </c:pt>
                <c:pt idx="3">
                  <c:v>27</c:v>
                </c:pt>
                <c:pt idx="4">
                  <c:v>18</c:v>
                </c:pt>
                <c:pt idx="5">
                  <c:v>15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1-4523-9B98-17A7596AF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3934463"/>
        <c:axId val="826070783"/>
      </c:barChart>
      <c:catAx>
        <c:axId val="150393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070783"/>
        <c:crosses val="autoZero"/>
        <c:auto val="1"/>
        <c:lblAlgn val="ctr"/>
        <c:lblOffset val="100"/>
        <c:noMultiLvlLbl val="0"/>
      </c:catAx>
      <c:valAx>
        <c:axId val="82607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93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14</c:v>
                </c:pt>
                <c:pt idx="1">
                  <c:v>3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1">
                  <c:v>10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53-4CD2-85F9-68E29C756748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53-4CD2-85F9-68E29C756748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20</c:v>
                </c:pt>
                <c:pt idx="5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53-4CD2-85F9-68E29C756748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53-4CD2-85F9-68E29C756748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4">
                  <c:v>1</c:v>
                </c:pt>
                <c:pt idx="5">
                  <c:v>16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53-4CD2-85F9-68E29C756748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1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3</c:v>
                </c:pt>
                <c:pt idx="1">
                  <c:v>15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11</c:v>
                </c:pt>
                <c:pt idx="1">
                  <c:v>44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Tests.xlsx]T2PT!PivotTable3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T2PT!$B$20:$B$21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T2PT!$A$22:$A$28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T2PT!$B$22:$B$28</c:f>
              <c:numCache>
                <c:formatCode>General</c:formatCode>
                <c:ptCount val="7"/>
                <c:pt idx="0">
                  <c:v>14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11</c:v>
                </c:pt>
                <c:pt idx="5">
                  <c:v>16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5-459C-8BEB-BFD76E978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3952559"/>
        <c:axId val="826064543"/>
      </c:barChart>
      <c:catAx>
        <c:axId val="1503952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064543"/>
        <c:crosses val="autoZero"/>
        <c:auto val="1"/>
        <c:lblAlgn val="ctr"/>
        <c:lblOffset val="100"/>
        <c:noMultiLvlLbl val="0"/>
      </c:catAx>
      <c:valAx>
        <c:axId val="826064543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95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7</c:v>
                </c:pt>
                <c:pt idx="1">
                  <c:v>2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D33-4E1E-A1F2-B86AEF10E9D0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D33-4E1E-A1F2-B86AEF10E9D0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D33-4E1E-A1F2-B86AEF10E9D0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D33-4E1E-A1F2-B86AEF10E9D0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3D33-4E1E-A1F2-B86AEF10E9D0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 - 70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5</c:v>
                </c:pt>
                <c:pt idx="1">
                  <c:v>17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[GPT ADD Tests.xlsx]T1PT!PivotTable1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GPT</a:t>
            </a:r>
            <a:r>
              <a:rPr lang="en-US" baseline="0"/>
              <a:t>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T1PT!$B$21:$B$22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T1PT!$A$23:$A$29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T1PT!$B$23:$B$29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E-44D6-87B2-9DF005E78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4220319"/>
        <c:axId val="826070303"/>
      </c:barChart>
      <c:catAx>
        <c:axId val="754220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spc="100" baseline="0">
                    <a:solidFill>
                      <a:sysClr val="window" lastClr="FFFFFF">
                        <a:lumMod val="95000"/>
                      </a:sysClr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070303"/>
        <c:crosses val="autoZero"/>
        <c:auto val="1"/>
        <c:lblAlgn val="ctr"/>
        <c:lblOffset val="100"/>
        <c:noMultiLvlLbl val="0"/>
      </c:catAx>
      <c:valAx>
        <c:axId val="826070303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127001</xdr:colOff>
      <xdr:row>2</xdr:row>
      <xdr:rowOff>20516</xdr:rowOff>
    </xdr:from>
    <xdr:to>
      <xdr:col>29</xdr:col>
      <xdr:colOff>195386</xdr:colOff>
      <xdr:row>21</xdr:row>
      <xdr:rowOff>9770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619B51-5824-31AA-0F7B-F744D9CAF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283308</xdr:colOff>
      <xdr:row>2</xdr:row>
      <xdr:rowOff>20515</xdr:rowOff>
    </xdr:from>
    <xdr:to>
      <xdr:col>29</xdr:col>
      <xdr:colOff>390770</xdr:colOff>
      <xdr:row>21</xdr:row>
      <xdr:rowOff>19538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C7B7FD-DA26-AB84-5A84-0F37181B1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106407</xdr:colOff>
      <xdr:row>1</xdr:row>
      <xdr:rowOff>152350</xdr:rowOff>
    </xdr:from>
    <xdr:to>
      <xdr:col>29</xdr:col>
      <xdr:colOff>233081</xdr:colOff>
      <xdr:row>21</xdr:row>
      <xdr:rowOff>17928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96DE9-3A87-A1A2-EFFA-C00EA3862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67939120374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unt="7">
        <s v="NILE"/>
        <s v="MSA"/>
        <s v="LEV"/>
        <s v="GULF"/>
        <s v="NA"/>
        <s v="IRAQ"/>
        <s v="YEM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6793958333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Short"/>
        <s v="Long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unt="7">
        <s v="LEV"/>
        <s v="GULF"/>
        <s v="NILE"/>
        <s v="IRAQ"/>
        <s v="MSA"/>
        <s v="NA"/>
        <s v="YEM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67940046298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Medium"/>
        <s v="Short"/>
        <s v="Long"/>
      </sharedItems>
    </cacheField>
    <cacheField name="Predicted Label" numFmtId="0">
      <sharedItems count="7">
        <s v="MSA"/>
        <s v="GULF"/>
        <s v="NA"/>
        <s v="LEV"/>
        <s v="IRAQ"/>
        <s v="YEM"/>
        <s v="NILE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85499768516" createdVersion="8" refreshedVersion="8" minRefreshableVersion="3" recordCount="7" xr:uid="{883BAA38-A32E-4919-9C54-EAF1A29AD66A}">
  <cacheSource type="worksheet">
    <worksheetSource ref="H5:K12" sheet="Trial2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 count="1">
        <n v="20"/>
      </sharedItems>
    </cacheField>
    <cacheField name="Answers" numFmtId="0">
      <sharedItems containsSemiMixedTypes="0" containsString="0" containsNumber="1" containsInteger="1" minValue="4" maxValue="20"/>
    </cacheField>
    <cacheField name="Percentage" numFmtId="9">
      <sharedItems containsSemiMixedTypes="0" containsString="0" containsNumber="1" minValue="0.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87436805552" createdVersion="8" refreshedVersion="8" minRefreshableVersion="3" recordCount="7" xr:uid="{E5A07515-F8E1-4BB8-9903-3AD8E87C2808}">
  <cacheSource type="worksheet">
    <worksheetSource ref="H5:K12" sheet="Trial1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3" maxValue="10"/>
    </cacheField>
    <cacheField name="Percentage" numFmtId="9">
      <sharedItems containsSemiMixedTypes="0" containsString="0" containsNumber="1" minValue="0.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87734606481" createdVersion="8" refreshedVersion="8" minRefreshableVersion="3" recordCount="7" xr:uid="{96CF1A26-C032-406E-ADDF-FC4F7739BE93}">
  <cacheSource type="worksheet">
    <worksheetSource ref="H5:K12" sheet="Trial3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 count="1">
        <n v="30"/>
      </sharedItems>
    </cacheField>
    <cacheField name="Answers" numFmtId="0">
      <sharedItems containsSemiMixedTypes="0" containsString="0" containsNumber="1" containsInteger="1" minValue="4" maxValue="27"/>
    </cacheField>
    <cacheField name="Percentage" numFmtId="9">
      <sharedItems containsSemiMixedTypes="0" containsString="0" containsNumber="1" minValue="0.13333333333333333" maxValue="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0"/>
  </r>
  <r>
    <s v="انت اسكتلندي؟"/>
    <x v="0"/>
    <x v="1"/>
    <x v="3"/>
    <x v="1"/>
  </r>
  <r>
    <s v="السيارة بتطلع اصوات غريبة."/>
    <x v="1"/>
    <x v="0"/>
    <x v="4"/>
    <x v="1"/>
  </r>
  <r>
    <s v="في اكبر؟"/>
    <x v="0"/>
    <x v="3"/>
    <x v="2"/>
    <x v="1"/>
  </r>
  <r>
    <s v="باش نسافر من اما مطار؟"/>
    <x v="0"/>
    <x v="4"/>
    <x v="5"/>
    <x v="0"/>
  </r>
  <r>
    <s v="عايز لمعة احذية ."/>
    <x v="0"/>
    <x v="0"/>
    <x v="0"/>
    <x v="0"/>
  </r>
  <r>
    <s v="أي رسوم بيتضمن؟"/>
    <x v="0"/>
    <x v="3"/>
    <x v="2"/>
    <x v="1"/>
  </r>
  <r>
    <s v="انته تروح للمدرية هنا؟"/>
    <x v="0"/>
    <x v="5"/>
    <x v="3"/>
    <x v="0"/>
  </r>
  <r>
    <s v="واخا، خليني نفكر. بزاف عليا."/>
    <x v="1"/>
    <x v="4"/>
    <x v="5"/>
    <x v="0"/>
  </r>
  <r>
    <s v="به هانا اي بقعه يقبلو الغسيل ايام الاحد؟"/>
    <x v="1"/>
    <x v="6"/>
    <x v="4"/>
    <x v="0"/>
  </r>
  <r>
    <s v="بدي تطولي كمام جاكيت الرياضة هاد."/>
    <x v="1"/>
    <x v="2"/>
    <x v="2"/>
    <x v="0"/>
  </r>
  <r>
    <s v="فعلياً، عندي أخبار. أنا تزوجت."/>
    <x v="1"/>
    <x v="1"/>
    <x v="2"/>
    <x v="1"/>
  </r>
  <r>
    <s v="محب للفنون الجديدة زي نفسك ربما من المحتمل يستمتع بلوحات الهيبيش و مشهد موسيقي الشارع."/>
    <x v="2"/>
    <x v="1"/>
    <x v="0"/>
    <x v="1"/>
  </r>
  <r>
    <s v="هل اكو اي جوله صباحيي؟"/>
    <x v="0"/>
    <x v="5"/>
    <x v="3"/>
    <x v="0"/>
  </r>
  <r>
    <s v="انا طحت بالنشلة."/>
    <x v="0"/>
    <x v="3"/>
    <x v="3"/>
    <x v="1"/>
  </r>
  <r>
    <s v="ولدت في واحد ابريل سنة الف وتسعمية وخمسة وتسعين."/>
    <x v="1"/>
    <x v="1"/>
    <x v="4"/>
    <x v="1"/>
  </r>
  <r>
    <s v="هل لك أن تزكي لي مطعما جيدا ؟"/>
    <x v="1"/>
    <x v="1"/>
    <x v="1"/>
    <x v="0"/>
  </r>
  <r>
    <s v="معي واحدة صغيرة نفس الموديل."/>
    <x v="1"/>
    <x v="3"/>
    <x v="4"/>
    <x v="1"/>
  </r>
  <r>
    <s v="يا اما تصلحه ولا تبدله، لوسمحت."/>
    <x v="1"/>
    <x v="2"/>
    <x v="4"/>
    <x v="1"/>
  </r>
  <r>
    <s v="البيتزه طيبي، منو عملا؟"/>
    <x v="0"/>
    <x v="2"/>
    <x v="3"/>
    <x v="1"/>
  </r>
  <r>
    <s v="وين بقدر لائي محل ساعات؟"/>
    <x v="0"/>
    <x v="2"/>
    <x v="2"/>
    <x v="0"/>
  </r>
  <r>
    <s v="الجودة ممتازة، والصفقة زينة."/>
    <x v="1"/>
    <x v="3"/>
    <x v="6"/>
    <x v="0"/>
  </r>
  <r>
    <s v="غادي ناخد الرحلة طناش لطوكيو."/>
    <x v="1"/>
    <x v="4"/>
    <x v="5"/>
    <x v="0"/>
  </r>
  <r>
    <s v="عندك حاجة ما أطول شوية؟"/>
    <x v="0"/>
    <x v="0"/>
    <x v="5"/>
    <x v="1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1"/>
    <x v="1"/>
    <x v="0"/>
  </r>
  <r>
    <s v="لذلك ارغب في استبدالها ؟"/>
    <x v="0"/>
    <x v="1"/>
    <x v="1"/>
    <x v="0"/>
  </r>
  <r>
    <s v="أجري ."/>
    <x v="0"/>
    <x v="1"/>
    <x v="0"/>
    <x v="1"/>
  </r>
  <r>
    <s v="لو سمحت، احكيلي عن شوية شوارع كويسة للتسوق."/>
    <x v="1"/>
    <x v="0"/>
    <x v="2"/>
    <x v="1"/>
  </r>
  <r>
    <s v="أين هو أقرب جزار؟"/>
    <x v="0"/>
    <x v="1"/>
    <x v="4"/>
    <x v="1"/>
  </r>
  <r>
    <s v="كل واحد فينا يفضل يخلص ماكلته بروحه."/>
    <x v="1"/>
    <x v="3"/>
    <x v="5"/>
    <x v="1"/>
  </r>
  <r>
    <s v="هى كاميرا الاغلام التمانيه مللي ديه هديه؟"/>
    <x v="1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مرجوج، مش مضروب."/>
    <x v="0"/>
    <x v="3"/>
    <x v="0"/>
    <x v="1"/>
  </r>
  <r>
    <s v="ممكن احصل مخابرة تكعدني بالخمسة ونص باجر الصبح؟"/>
    <x v="1"/>
    <x v="5"/>
    <x v="3"/>
    <x v="0"/>
  </r>
  <r>
    <s v="ارجى دقيقة، لو سمحت."/>
    <x v="0"/>
    <x v="5"/>
    <x v="5"/>
    <x v="1"/>
  </r>
  <r>
    <s v="كعكة بالتوت للتحلية، وقهوة، عافاك."/>
    <x v="1"/>
    <x v="4"/>
    <x v="5"/>
    <x v="0"/>
  </r>
  <r>
    <s v="كفي دغري و بروم عالشمال هونيك."/>
    <x v="1"/>
    <x v="2"/>
    <x v="2"/>
    <x v="0"/>
  </r>
  <r>
    <s v="عبي إستمارة التسجيل هذه، لوسمحت."/>
    <x v="1"/>
    <x v="3"/>
    <x v="4"/>
    <x v="1"/>
  </r>
  <r>
    <s v="راني حاب حقيبة ماكياج."/>
    <x v="0"/>
    <x v="4"/>
    <x v="5"/>
    <x v="0"/>
  </r>
  <r>
    <s v="وتوا، ويني فاليجتي؟ أوه، هاي وصلت."/>
    <x v="1"/>
    <x v="4"/>
    <x v="5"/>
    <x v="0"/>
  </r>
  <r>
    <s v="لو سمحت املي بطاقة الهبوط هذي واستمارة الجمارك."/>
    <x v="1"/>
    <x v="3"/>
    <x v="6"/>
    <x v="0"/>
  </r>
  <r>
    <s v="ما عندي وقت."/>
    <x v="0"/>
    <x v="3"/>
    <x v="6"/>
    <x v="0"/>
  </r>
  <r>
    <s v="عايز قهوة كمان؟"/>
    <x v="0"/>
    <x v="0"/>
    <x v="0"/>
    <x v="0"/>
  </r>
  <r>
    <s v="هل يمكن أن أترك هذه العربة خارج الردهة ؟"/>
    <x v="1"/>
    <x v="1"/>
    <x v="1"/>
    <x v="0"/>
  </r>
  <r>
    <s v="لقد كانت المزارات في اليونان تاريخية ."/>
    <x v="1"/>
    <x v="1"/>
    <x v="1"/>
    <x v="0"/>
  </r>
  <r>
    <s v="بعد إزنك، من وين بروحو عأكاساكا؟"/>
    <x v="1"/>
    <x v="2"/>
    <x v="2"/>
    <x v="0"/>
  </r>
  <r>
    <s v="هذا كان هو؟"/>
    <x v="0"/>
    <x v="1"/>
    <x v="3"/>
    <x v="1"/>
  </r>
  <r>
    <s v="بس كنت ابغي أأكد ان رئيس مجلس الإدارة لشركتكم بيحضر الاجتماع بكرة."/>
    <x v="2"/>
    <x v="3"/>
    <x v="6"/>
    <x v="0"/>
  </r>
  <r>
    <s v="ذيك عيوقع كاش والا رسوم؟"/>
    <x v="0"/>
    <x v="3"/>
    <x v="4"/>
    <x v="1"/>
  </r>
  <r>
    <s v="كود المنطقة صفرتلاثة. الرقم تلاثة واحد اثنين تلاثة اربعة خمسة ستة سبعة."/>
    <x v="2"/>
    <x v="5"/>
    <x v="3"/>
    <x v="0"/>
  </r>
  <r>
    <s v="كيف بدك البيض؟"/>
    <x v="0"/>
    <x v="2"/>
    <x v="2"/>
    <x v="0"/>
  </r>
  <r>
    <s v="احنا نفتح الساعه تسع في الصبح."/>
    <x v="1"/>
    <x v="0"/>
    <x v="4"/>
    <x v="1"/>
  </r>
  <r>
    <s v="أعتقد إنت المفروض تقدر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0"/>
  </r>
  <r>
    <s v="هذا القطار عيسير طوالي ل أدنبرة؟"/>
    <x v="1"/>
    <x v="5"/>
    <x v="4"/>
    <x v="1"/>
  </r>
  <r>
    <s v="بس عشان هديه تذكارية . انت عارف، ماعندناش النوع ده من التاكسيات في اليابان ."/>
    <x v="2"/>
    <x v="0"/>
    <x v="0"/>
    <x v="0"/>
  </r>
  <r>
    <s v="معدتي مقلوبة."/>
    <x v="0"/>
    <x v="3"/>
    <x v="0"/>
    <x v="1"/>
  </r>
  <r>
    <s v="اطيق احجز اجر-سيارة هوني؟"/>
    <x v="0"/>
    <x v="5"/>
    <x v="3"/>
    <x v="0"/>
  </r>
  <r>
    <s v="شنو نوع الشنطة؟"/>
    <x v="0"/>
    <x v="5"/>
    <x v="6"/>
    <x v="1"/>
  </r>
  <r>
    <s v="من البيحه."/>
    <x v="0"/>
    <x v="6"/>
    <x v="3"/>
    <x v="1"/>
  </r>
  <r>
    <s v="عادي استخدم ملعب التنس؟"/>
    <x v="0"/>
    <x v="3"/>
    <x v="6"/>
    <x v="0"/>
  </r>
  <r>
    <s v="في اكل في الجولة؟"/>
    <x v="0"/>
    <x v="3"/>
    <x v="6"/>
    <x v="0"/>
  </r>
  <r>
    <s v="وجع بشع."/>
    <x v="0"/>
    <x v="0"/>
    <x v="0"/>
    <x v="0"/>
  </r>
  <r>
    <s v="ازاي أرجع؟"/>
    <x v="0"/>
    <x v="0"/>
    <x v="0"/>
    <x v="0"/>
  </r>
  <r>
    <s v="تقدر تتهجاه ليا؟"/>
    <x v="0"/>
    <x v="0"/>
    <x v="5"/>
    <x v="1"/>
  </r>
  <r>
    <s v="ما اقدر اشوف الشاشة بوضوح من هنا. اقدر اغير مقعدي لفترة؟"/>
    <x v="2"/>
    <x v="3"/>
    <x v="6"/>
    <x v="0"/>
  </r>
  <r>
    <s v="ممكن جدول زمني، لو سمحت؟"/>
    <x v="0"/>
    <x v="3"/>
    <x v="4"/>
    <x v="1"/>
  </r>
  <r>
    <s v="صاحبي مريض برشا. تنجم تكلم طبيب، يعيشك؟"/>
    <x v="1"/>
    <x v="4"/>
    <x v="5"/>
    <x v="0"/>
  </r>
  <r>
    <s v="بدي شوية مقانق، عمول معروف ."/>
    <x v="1"/>
    <x v="2"/>
    <x v="2"/>
    <x v="0"/>
  </r>
  <r>
    <s v="ينعن. ينعن. ينعن. ينعن. تعودت ع وجها."/>
    <x v="1"/>
    <x v="2"/>
    <x v="2"/>
    <x v="0"/>
  </r>
  <r>
    <s v="أبا عطر."/>
    <x v="0"/>
    <x v="3"/>
    <x v="6"/>
    <x v="0"/>
  </r>
  <r>
    <s v="رح أوصل حوالي الساعة تسعة المسا."/>
    <x v="1"/>
    <x v="2"/>
    <x v="2"/>
    <x v="0"/>
  </r>
  <r>
    <s v="واش هاد القطار كايتوقف فبالتيمور؟"/>
    <x v="1"/>
    <x v="4"/>
    <x v="5"/>
    <x v="0"/>
  </r>
  <r>
    <s v="شا اتصل ب واحد."/>
    <x v="0"/>
    <x v="5"/>
    <x v="4"/>
    <x v="1"/>
  </r>
  <r>
    <s v="عايزاه بنعل كويس و كعب عالي، من فضلك ."/>
    <x v="1"/>
    <x v="0"/>
    <x v="0"/>
    <x v="0"/>
  </r>
  <r>
    <s v="فقدت استخدام يدي اليمنى."/>
    <x v="0"/>
    <x v="1"/>
    <x v="6"/>
    <x v="1"/>
  </r>
  <r>
    <s v="اصعد السلم ثم اتجه يميناً . إنه على يسارك ."/>
    <x v="1"/>
    <x v="1"/>
    <x v="1"/>
    <x v="0"/>
  </r>
  <r>
    <s v="فقط إذا كانت ملكك ، سيدي . هاها ، مزحة صغيرة ."/>
    <x v="1"/>
    <x v="1"/>
    <x v="1"/>
    <x v="0"/>
  </r>
  <r>
    <s v="مستبعد جدا ."/>
    <x v="0"/>
    <x v="1"/>
    <x v="0"/>
    <x v="1"/>
  </r>
  <r>
    <s v="ماذا عن القمة ؟ هل انقص بعضاً من القمة ؟"/>
    <x v="1"/>
    <x v="1"/>
    <x v="1"/>
    <x v="0"/>
  </r>
  <r>
    <s v="نظن بلي رائع."/>
    <x v="0"/>
    <x v="4"/>
    <x v="5"/>
    <x v="0"/>
  </r>
  <r>
    <s v="علبة موسيقى ."/>
    <x v="0"/>
    <x v="1"/>
    <x v="2"/>
    <x v="1"/>
  </r>
  <r>
    <s v="تبعد حوالي تسعه وتسعين ميل."/>
    <x v="1"/>
    <x v="1"/>
    <x v="4"/>
    <x v="1"/>
  </r>
  <r>
    <s v="أطرح الزلط في ظرف مميز مزين يسموه شوجيبوكورو."/>
    <x v="1"/>
    <x v="4"/>
    <x v="4"/>
    <x v="1"/>
  </r>
  <r>
    <s v="عندك اطباق قليلة بالسعرات؟ انا ماشي على حمية، دحين."/>
    <x v="2"/>
    <x v="4"/>
    <x v="6"/>
    <x v="1"/>
  </r>
  <r>
    <s v="ليش أجرتك غير الذي في العداد؟"/>
    <x v="1"/>
    <x v="2"/>
    <x v="4"/>
    <x v="1"/>
  </r>
  <r>
    <s v="لو سمحت ألغي رقم البطاقه حقي."/>
    <x v="1"/>
    <x v="0"/>
    <x v="4"/>
    <x v="1"/>
  </r>
  <r>
    <s v="اشتي ااكد هذا."/>
    <x v="0"/>
    <x v="6"/>
    <x v="4"/>
    <x v="0"/>
  </r>
  <r>
    <s v="هذا مودالنا جديد. سميناه كمبيوتر الحلم."/>
    <x v="1"/>
    <x v="2"/>
    <x v="5"/>
    <x v="1"/>
  </r>
  <r>
    <s v="هل اكو مطعم اغخص قغيب هوني؟"/>
    <x v="1"/>
    <x v="5"/>
    <x v="3"/>
    <x v="0"/>
  </r>
  <r>
    <s v="لازم اروح على بنك ياباني؟"/>
    <x v="0"/>
    <x v="4"/>
    <x v="2"/>
    <x v="1"/>
  </r>
  <r>
    <s v="مسا الخير. عندك طاولة فاضية حق اثنين؟"/>
    <x v="1"/>
    <x v="2"/>
    <x v="6"/>
    <x v="1"/>
  </r>
  <r>
    <s v="وين مستودع الباصات الكريهاوند بهالمدينه؟"/>
    <x v="1"/>
    <x v="4"/>
    <x v="3"/>
    <x v="1"/>
  </r>
  <r>
    <s v="عنا شراب روزي ممتاز."/>
    <x v="0"/>
    <x v="6"/>
    <x v="5"/>
    <x v="1"/>
  </r>
  <r>
    <s v="ممكن تعطينا مزاز، لو سمحت؟"/>
    <x v="1"/>
    <x v="3"/>
    <x v="6"/>
    <x v="0"/>
  </r>
  <r>
    <s v="ما عندي اي فلوس."/>
    <x v="0"/>
    <x v="3"/>
    <x v="3"/>
    <x v="1"/>
  </r>
  <r>
    <s v="ممكن تحولي اياهم لدولارات، لو سمحت؟"/>
    <x v="1"/>
    <x v="0"/>
    <x v="2"/>
    <x v="1"/>
  </r>
  <r>
    <s v="عندك تعريفات في الجمعة."/>
    <x v="0"/>
    <x v="5"/>
    <x v="5"/>
    <x v="1"/>
  </r>
  <r>
    <s v="اشنو الاختلاف بين هذولي الفنادق؟"/>
    <x v="1"/>
    <x v="4"/>
    <x v="3"/>
    <x v="1"/>
  </r>
  <r>
    <s v="الشي الجنت ادور عليه."/>
    <x v="0"/>
    <x v="6"/>
    <x v="3"/>
    <x v="1"/>
  </r>
  <r>
    <s v="إذا بتريد عمال تقرير سرقة ."/>
    <x v="1"/>
    <x v="5"/>
    <x v="2"/>
    <x v="1"/>
  </r>
  <r>
    <s v="يصير ادفع بجيكات سياحية؟"/>
    <x v="0"/>
    <x v="5"/>
    <x v="6"/>
    <x v="1"/>
  </r>
  <r>
    <s v="اي، بعض الغرف تطل على الحديقة، بس يكلفون اكثر."/>
    <x v="1"/>
    <x v="3"/>
    <x v="6"/>
    <x v="0"/>
  </r>
  <r>
    <s v="اريد كتاب تلوين."/>
    <x v="0"/>
    <x v="0"/>
    <x v="3"/>
    <x v="1"/>
  </r>
  <r>
    <s v="بغيتك تنقصلي إنش واحد من هنا."/>
    <x v="1"/>
    <x v="4"/>
    <x v="5"/>
    <x v="0"/>
  </r>
  <r>
    <s v="ذيك عيوقع كاش والا رسوم؟"/>
    <x v="0"/>
    <x v="3"/>
    <x v="4"/>
    <x v="1"/>
  </r>
  <r>
    <s v="مشكور ما قصرت. انا وسيد كوقوري مستانسين ان جينا لندن عشان نجتمع معاك وانت واحد من أهم شركائنا."/>
    <x v="2"/>
    <x v="2"/>
    <x v="6"/>
    <x v="1"/>
  </r>
  <r>
    <s v="ايوه، كل اللي انت محتاجله شامبو و سيشوار ."/>
    <x v="1"/>
    <x v="0"/>
    <x v="0"/>
    <x v="0"/>
  </r>
  <r>
    <s v="عليك أن تحجز مقدما ."/>
    <x v="0"/>
    <x v="1"/>
    <x v="1"/>
    <x v="0"/>
  </r>
  <r>
    <s v="أنا مرضان."/>
    <x v="0"/>
    <x v="0"/>
    <x v="2"/>
    <x v="1"/>
  </r>
  <r>
    <s v="ماعنديش موعد، بلحاق الحالة مستعجلة."/>
    <x v="1"/>
    <x v="4"/>
    <x v="5"/>
    <x v="0"/>
  </r>
  <r>
    <s v="اكيد، اخذ وقتك."/>
    <x v="0"/>
    <x v="3"/>
    <x v="3"/>
    <x v="1"/>
  </r>
  <r>
    <s v="مسامحة بس في غلط في الفاتورة."/>
    <x v="1"/>
    <x v="0"/>
    <x v="6"/>
    <x v="1"/>
  </r>
  <r>
    <s v="اعتقد اننا فلت حقي الكاميرا لما تعشيت هانا امس."/>
    <x v="1"/>
    <x v="2"/>
    <x v="4"/>
    <x v="1"/>
  </r>
  <r>
    <s v="ناس قليلين اللي هايكونوا في الجولة الاختياري."/>
    <x v="1"/>
    <x v="3"/>
    <x v="0"/>
    <x v="1"/>
  </r>
  <r>
    <s v="اكدر احصلها مشروحة اكثر بالتفاصيل؟"/>
    <x v="1"/>
    <x v="5"/>
    <x v="3"/>
    <x v="0"/>
  </r>
  <r>
    <s v="عندي تلات شنطات ."/>
    <x v="0"/>
    <x v="0"/>
    <x v="2"/>
    <x v="1"/>
  </r>
  <r>
    <s v="كيف تستخدمه ؟"/>
    <x v="0"/>
    <x v="1"/>
    <x v="1"/>
    <x v="0"/>
  </r>
  <r>
    <s v="بتمنى تحب اللون و الموديل ."/>
    <x v="1"/>
    <x v="3"/>
    <x v="2"/>
    <x v="1"/>
  </r>
  <r>
    <s v="ما هو نوع الصوص؟"/>
    <x v="0"/>
    <x v="0"/>
    <x v="4"/>
    <x v="1"/>
  </r>
  <r>
    <s v="اود أن العب التنس."/>
    <x v="0"/>
    <x v="1"/>
    <x v="6"/>
    <x v="1"/>
  </r>
  <r>
    <s v="اه. اكدر اكل وجبتي بعدين؟ احس نفسي متخربط هسه."/>
    <x v="1"/>
    <x v="4"/>
    <x v="3"/>
    <x v="1"/>
  </r>
  <r>
    <s v="بتقبل أنهى كريديت كاردس؟"/>
    <x v="0"/>
    <x v="2"/>
    <x v="0"/>
    <x v="1"/>
  </r>
  <r>
    <s v="أيمكنني أن أبقى ثلاث ليالٍ ؟"/>
    <x v="1"/>
    <x v="1"/>
    <x v="1"/>
    <x v="0"/>
  </r>
  <r>
    <s v="نعم ، بإمكانك . هون عليك ."/>
    <x v="1"/>
    <x v="2"/>
    <x v="1"/>
    <x v="1"/>
  </r>
  <r>
    <s v="بتقدر تبدل كرسيك معي، لو سمحت؟"/>
    <x v="1"/>
    <x v="3"/>
    <x v="2"/>
    <x v="1"/>
  </r>
  <r>
    <s v="ممكن ناخد أوضة على البحر؟"/>
    <x v="0"/>
    <x v="2"/>
    <x v="0"/>
    <x v="1"/>
  </r>
  <r>
    <s v="هاي الغرفة كولش صغيره."/>
    <x v="0"/>
    <x v="5"/>
    <x v="3"/>
    <x v="0"/>
  </r>
  <r>
    <s v="كان عندي جواز سفروبطاقة ائتمان فحقيبتي."/>
    <x v="1"/>
    <x v="1"/>
    <x v="5"/>
    <x v="1"/>
  </r>
  <r>
    <s v="هل يمكنني أن أكل كل حبة الفاكهة هذه ؟"/>
    <x v="1"/>
    <x v="1"/>
    <x v="1"/>
    <x v="0"/>
  </r>
  <r>
    <s v="مافي ادوات مكتبية."/>
    <x v="0"/>
    <x v="3"/>
    <x v="6"/>
    <x v="0"/>
  </r>
  <r>
    <s v="أتوبيس؟ أفتكر أنت تقصد ليموزين يوصلك الفندق. أنت رايح أنهى فندق؟"/>
    <x v="2"/>
    <x v="4"/>
    <x v="0"/>
    <x v="1"/>
  </r>
  <r>
    <s v="أوه، ها هو. وهل لازم كل شخض يملا استمارة البيان الجمركي هذه؟"/>
    <x v="2"/>
    <x v="1"/>
    <x v="6"/>
    <x v="1"/>
  </r>
  <r>
    <s v="كم سعر المشروم الطازج؟"/>
    <x v="0"/>
    <x v="1"/>
    <x v="6"/>
    <x v="1"/>
  </r>
  <r>
    <s v="ممكن اشوف السيارة؟"/>
    <x v="0"/>
    <x v="3"/>
    <x v="3"/>
    <x v="1"/>
  </r>
  <r>
    <s v="وين بقدر أطلع بباص بيلف بالمدينة؟"/>
    <x v="1"/>
    <x v="4"/>
    <x v="2"/>
    <x v="1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4"/>
    <x v="2"/>
    <x v="1"/>
  </r>
  <r>
    <s v="مية دولار كاش، وثلاثمية دولار بجيكاتي السياحية والكردت كارد."/>
    <x v="2"/>
    <x v="5"/>
    <x v="6"/>
    <x v="1"/>
  </r>
  <r>
    <s v="نسيت مفتاح الغرفة داخلها. ممكن تعطيني نسخة من المفتاح، لو سمحت؟"/>
    <x v="2"/>
    <x v="1"/>
    <x v="6"/>
    <x v="1"/>
  </r>
  <r>
    <s v="كلا . إني ياباني ."/>
    <x v="0"/>
    <x v="4"/>
    <x v="1"/>
    <x v="1"/>
  </r>
  <r>
    <s v="لا، شكرا. احسنلي ما اشرب بعد."/>
    <x v="1"/>
    <x v="2"/>
    <x v="3"/>
    <x v="1"/>
  </r>
  <r>
    <s v="هل هذا هو كل شيء متضمن في الفاتورة ؟"/>
    <x v="1"/>
    <x v="1"/>
    <x v="1"/>
    <x v="0"/>
  </r>
  <r>
    <s v="تركت شنطتي بشي مطرح."/>
    <x v="0"/>
    <x v="2"/>
    <x v="2"/>
    <x v="0"/>
  </r>
  <r>
    <s v="علطول، إذا سمحت ."/>
    <x v="0"/>
    <x v="4"/>
    <x v="0"/>
    <x v="1"/>
  </r>
  <r>
    <s v="اشتي العب تنس."/>
    <x v="0"/>
    <x v="6"/>
    <x v="4"/>
    <x v="0"/>
  </r>
  <r>
    <s v="زين. حجزك تاكد."/>
    <x v="0"/>
    <x v="3"/>
    <x v="3"/>
    <x v="1"/>
  </r>
  <r>
    <s v="في واحد خبط فيا. وبعديها ملقتش محفظتي."/>
    <x v="1"/>
    <x v="2"/>
    <x v="0"/>
    <x v="1"/>
  </r>
  <r>
    <s v="شاهي مع ليمون، لو سمحت."/>
    <x v="0"/>
    <x v="4"/>
    <x v="6"/>
    <x v="1"/>
  </r>
  <r>
    <s v="من فضلك غادر الفندق قبل التاسعة ."/>
    <x v="1"/>
    <x v="1"/>
    <x v="1"/>
    <x v="0"/>
  </r>
  <r>
    <s v="عمبتسأل سعر شو هيدا على فاتورتي ."/>
    <x v="1"/>
    <x v="4"/>
    <x v="2"/>
    <x v="1"/>
  </r>
  <r>
    <s v="برا."/>
    <x v="0"/>
    <x v="4"/>
    <x v="3"/>
    <x v="1"/>
  </r>
  <r>
    <s v="ضيعت باسبوري، نحب واحد جديد."/>
    <x v="1"/>
    <x v="4"/>
    <x v="5"/>
    <x v="0"/>
  </r>
  <r>
    <s v="اشعر بالتعب الشديد . من فضلك استدع طبيباً ."/>
    <x v="1"/>
    <x v="1"/>
    <x v="1"/>
    <x v="0"/>
  </r>
  <r>
    <s v="نعم، سيد تانكا. اكو رسالتين الك."/>
    <x v="1"/>
    <x v="5"/>
    <x v="3"/>
    <x v="0"/>
  </r>
  <r>
    <s v="بأثر شي اذا دقيتلك بعدين؟"/>
    <x v="0"/>
    <x v="5"/>
    <x v="2"/>
    <x v="1"/>
  </r>
  <r>
    <s v="ممكن ترسل تاكسي للمدخل الرئيسي حق ويستمينستر مول؟"/>
    <x v="1"/>
    <x v="2"/>
    <x v="4"/>
    <x v="1"/>
  </r>
  <r>
    <s v="عفوا. عيوقعين جاهزات في حوالي خمس دقايق."/>
    <x v="1"/>
    <x v="3"/>
    <x v="4"/>
    <x v="1"/>
  </r>
  <r>
    <s v="عمر هاد الورقة عافاك. فين خاصنا نديوه منين نردوه؟"/>
    <x v="1"/>
    <x v="4"/>
    <x v="5"/>
    <x v="0"/>
  </r>
  <r>
    <s v="طلبي ما وصل ."/>
    <x v="0"/>
    <x v="3"/>
    <x v="2"/>
    <x v="1"/>
  </r>
  <r>
    <s v="عايز الهدوم دى تتكوى."/>
    <x v="0"/>
    <x v="0"/>
    <x v="0"/>
    <x v="0"/>
  </r>
  <r>
    <s v="مناسب على بدلتك."/>
    <x v="0"/>
    <x v="3"/>
    <x v="4"/>
    <x v="1"/>
  </r>
  <r>
    <s v="كم من الوقت يبغاله من هنا إلى سيتي هول مشي على الأقدام؟"/>
    <x v="2"/>
    <x v="1"/>
    <x v="6"/>
    <x v="1"/>
  </r>
  <r>
    <s v="ما شعورك ؟ لقد صنعت في سويسرا وهي موضة هنا ."/>
    <x v="1"/>
    <x v="1"/>
    <x v="1"/>
    <x v="0"/>
  </r>
  <r>
    <s v="ممكن لو سمحت تعبي هذا؟"/>
    <x v="0"/>
    <x v="1"/>
    <x v="4"/>
    <x v="1"/>
  </r>
  <r>
    <s v="إعادة تأكيد رحلتي."/>
    <x v="0"/>
    <x v="1"/>
    <x v="6"/>
    <x v="1"/>
  </r>
  <r>
    <s v="سبعه، لو سمحت."/>
    <x v="0"/>
    <x v="1"/>
    <x v="4"/>
    <x v="1"/>
  </r>
  <r>
    <s v="هل يمكن إصلاح هذا؟"/>
    <x v="0"/>
    <x v="1"/>
    <x v="6"/>
    <x v="1"/>
  </r>
  <r>
    <s v="أه، أنا عاوز أشوف المعالم السياحية للمدينة."/>
    <x v="1"/>
    <x v="0"/>
    <x v="0"/>
    <x v="0"/>
  </r>
  <r>
    <s v="ده غالي جداً."/>
    <x v="0"/>
    <x v="2"/>
    <x v="0"/>
    <x v="1"/>
  </r>
  <r>
    <s v="اكو اي ليموزين؟"/>
    <x v="0"/>
    <x v="3"/>
    <x v="3"/>
    <x v="1"/>
  </r>
  <r>
    <s v="ابغى كوب من القهوة البيضاء، لو سمحت."/>
    <x v="1"/>
    <x v="6"/>
    <x v="6"/>
    <x v="1"/>
  </r>
  <r>
    <s v="نعم . هم كذلك ."/>
    <x v="0"/>
    <x v="4"/>
    <x v="1"/>
    <x v="1"/>
  </r>
  <r>
    <s v="انت جعان؟"/>
    <x v="0"/>
    <x v="0"/>
    <x v="0"/>
    <x v="0"/>
  </r>
  <r>
    <s v="لا أريد شيئاً آخر ، من فضلك ."/>
    <x v="1"/>
    <x v="1"/>
    <x v="1"/>
    <x v="0"/>
  </r>
  <r>
    <s v="أنا متأسف أما لوتيل معبي."/>
    <x v="0"/>
    <x v="4"/>
    <x v="5"/>
    <x v="0"/>
  </r>
  <r>
    <s v="هذا الحجم، رجاءا."/>
    <x v="0"/>
    <x v="1"/>
    <x v="3"/>
    <x v="1"/>
  </r>
  <r>
    <s v="مسجل ، من فضلك ."/>
    <x v="0"/>
    <x v="1"/>
    <x v="1"/>
    <x v="0"/>
  </r>
  <r>
    <s v="طلع حاجاتي الغالية، لو سمحت."/>
    <x v="1"/>
    <x v="5"/>
    <x v="5"/>
    <x v="1"/>
  </r>
  <r>
    <s v="علي أن أقول وداعاً ."/>
    <x v="0"/>
    <x v="1"/>
    <x v="1"/>
    <x v="0"/>
  </r>
  <r>
    <s v="من الأحسن تطلع ف التران تمنيا تلاتين ."/>
    <x v="1"/>
    <x v="4"/>
    <x v="5"/>
    <x v="0"/>
  </r>
  <r>
    <s v="دير بالك، السقف قصير."/>
    <x v="0"/>
    <x v="4"/>
    <x v="2"/>
    <x v="1"/>
  </r>
  <r>
    <s v="سيارتي اتعطلت، لو سمحت تعال و خذها."/>
    <x v="1"/>
    <x v="2"/>
    <x v="6"/>
    <x v="1"/>
  </r>
  <r>
    <s v="علاش غالي برشة البوكسار هذا؟"/>
    <x v="1"/>
    <x v="4"/>
    <x v="5"/>
    <x v="0"/>
  </r>
  <r>
    <s v="لنذهب مرة أخرى ."/>
    <x v="0"/>
    <x v="1"/>
    <x v="1"/>
    <x v="0"/>
  </r>
  <r>
    <s v="القهوة مع كريم والسكر، من فضلك."/>
    <x v="1"/>
    <x v="0"/>
    <x v="6"/>
    <x v="1"/>
  </r>
  <r>
    <s v="داير احصل على تأمين."/>
    <x v="0"/>
    <x v="4"/>
    <x v="0"/>
    <x v="1"/>
  </r>
  <r>
    <s v="ضروري اجي للمستشفى يوميه؟"/>
    <x v="0"/>
    <x v="6"/>
    <x v="4"/>
    <x v="0"/>
  </r>
  <r>
    <s v="أنا متأكد المجرم قريب."/>
    <x v="0"/>
    <x v="1"/>
    <x v="2"/>
    <x v="1"/>
  </r>
  <r>
    <s v="مستر كاواي، في تربيزة لحضرتك دلوقتي. تعالى من هنا، لو سمحت."/>
    <x v="2"/>
    <x v="2"/>
    <x v="0"/>
    <x v="1"/>
  </r>
  <r>
    <s v="عطيني جوج تذاكر الدرجة الثانية لشيكاغو، عافاك؟"/>
    <x v="1"/>
    <x v="4"/>
    <x v="5"/>
    <x v="0"/>
  </r>
  <r>
    <s v="لكن التكلفة تزداد , أليس كذلك ؟"/>
    <x v="1"/>
    <x v="1"/>
    <x v="1"/>
    <x v="0"/>
  </r>
  <r>
    <s v="حالة الجو متقلبة . من فضلكم اربطوا أحزمة مقاعدكم ."/>
    <x v="1"/>
    <x v="1"/>
    <x v="1"/>
    <x v="0"/>
  </r>
  <r>
    <s v="مخيرا. الله يحفداك."/>
    <x v="0"/>
    <x v="6"/>
    <x v="5"/>
    <x v="1"/>
  </r>
  <r>
    <s v="من الصبح."/>
    <x v="0"/>
    <x v="3"/>
    <x v="4"/>
    <x v="1"/>
  </r>
  <r>
    <s v="هل يمكن أن تخلي المنضدة لي ، من فضلك ."/>
    <x v="1"/>
    <x v="1"/>
    <x v="1"/>
    <x v="0"/>
  </r>
  <r>
    <s v="ما هو الأفضل ؟"/>
    <x v="0"/>
    <x v="1"/>
    <x v="1"/>
    <x v="0"/>
  </r>
  <r>
    <s v="قهوه مع كريمة و سكر، لوسمحت."/>
    <x v="1"/>
    <x v="2"/>
    <x v="4"/>
    <x v="1"/>
  </r>
  <r>
    <s v="بينتسائل أيش أشل منه؟"/>
    <x v="0"/>
    <x v="3"/>
    <x v="4"/>
    <x v="1"/>
  </r>
  <r>
    <s v="النسمة الكلية لليابان حوالي مية تلاثين مليون."/>
    <x v="1"/>
    <x v="1"/>
    <x v="3"/>
    <x v="1"/>
  </r>
  <r>
    <s v="داير أرسله بالبريد البري او البحري."/>
    <x v="1"/>
    <x v="5"/>
    <x v="0"/>
    <x v="1"/>
  </r>
  <r>
    <s v="رجاءا اكتب عنوانك هوني."/>
    <x v="0"/>
    <x v="4"/>
    <x v="3"/>
    <x v="1"/>
  </r>
  <r>
    <s v="هذي فيزا والرقم هو أربعا تسعا صفر ثمانيا واحد خمسا واحد ثنين تلاثا ستا سبعا سبعا ستا صفر صفر أربعا."/>
    <x v="2"/>
    <x v="3"/>
    <x v="5"/>
    <x v="1"/>
  </r>
  <r>
    <s v="بغيتي تبدل هاد العدسات بشي وحدين قصاح؟"/>
    <x v="1"/>
    <x v="4"/>
    <x v="5"/>
    <x v="0"/>
  </r>
  <r>
    <s v="رجاءا ارسلي شخص للاعلى علمود جنطيي ساعه ستي ونص."/>
    <x v="1"/>
    <x v="5"/>
    <x v="3"/>
    <x v="0"/>
  </r>
  <r>
    <s v="الثنية طويلة؟"/>
    <x v="0"/>
    <x v="6"/>
    <x v="5"/>
    <x v="1"/>
  </r>
  <r>
    <s v="هالإيام عم ينتشر كتير حالات رشح."/>
    <x v="1"/>
    <x v="2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ضروري اجي للمستشفى يوميه؟"/>
    <x v="1"/>
    <x v="1"/>
    <x v="1"/>
    <x v="1"/>
  </r>
  <r>
    <s v="مشكور ما قصرت. انا وسيد كوقوري مستانسين ان جينا لندن عشان نجتمع معاك وانت واحد من أهم شركائنا."/>
    <x v="2"/>
    <x v="1"/>
    <x v="2"/>
    <x v="0"/>
  </r>
  <r>
    <s v="أعتقد إنت المفروض تقدر تجيب كل الحاجات من السوبر ماركت. لو ماقدرتش، متقلقش. أنا هاروح الصيدلية بكرة."/>
    <x v="2"/>
    <x v="2"/>
    <x v="3"/>
    <x v="0"/>
  </r>
  <r>
    <s v="سيارتي اتعطلت، لو سمحت تعال و خذها."/>
    <x v="0"/>
    <x v="1"/>
    <x v="2"/>
    <x v="0"/>
  </r>
  <r>
    <s v="بس كنت ابغي أأكد ان رئيس مجلس الإدارة لشركتكم بيحضر الاجتماع بكرة."/>
    <x v="2"/>
    <x v="1"/>
    <x v="2"/>
    <x v="0"/>
  </r>
  <r>
    <s v="نعم، سيد تانكا. اكو رسالتين الك."/>
    <x v="0"/>
    <x v="3"/>
    <x v="4"/>
    <x v="0"/>
  </r>
  <r>
    <s v="ممكن اشوف السيارة؟"/>
    <x v="1"/>
    <x v="4"/>
    <x v="4"/>
    <x v="1"/>
  </r>
  <r>
    <s v="بغيتي تبدل هاد العدسات بشي وحدين قصاح؟"/>
    <x v="0"/>
    <x v="5"/>
    <x v="5"/>
    <x v="0"/>
  </r>
  <r>
    <s v="عليك أن تحجز مقدما ."/>
    <x v="1"/>
    <x v="4"/>
    <x v="6"/>
    <x v="0"/>
  </r>
  <r>
    <s v="أيمكنني أن أبقى ثلاث ليالٍ ؟"/>
    <x v="0"/>
    <x v="4"/>
    <x v="6"/>
    <x v="0"/>
  </r>
  <r>
    <s v="هل اكو مطعم اغخص قغيب هوني؟"/>
    <x v="0"/>
    <x v="3"/>
    <x v="4"/>
    <x v="0"/>
  </r>
  <r>
    <s v="مناسب على بدلتك."/>
    <x v="1"/>
    <x v="0"/>
    <x v="1"/>
    <x v="1"/>
  </r>
  <r>
    <s v="كلا . إني ياباني ."/>
    <x v="1"/>
    <x v="4"/>
    <x v="6"/>
    <x v="0"/>
  </r>
  <r>
    <s v="ما عندي اي فلوس."/>
    <x v="1"/>
    <x v="1"/>
    <x v="4"/>
    <x v="1"/>
  </r>
  <r>
    <s v="غادي ناخد الرحلة طناش لطوكيو."/>
    <x v="0"/>
    <x v="5"/>
    <x v="5"/>
    <x v="0"/>
  </r>
  <r>
    <s v="ينعن. ينعن. ينعن. ينعن. تعودت ع وجها."/>
    <x v="0"/>
    <x v="0"/>
    <x v="0"/>
    <x v="0"/>
  </r>
  <r>
    <s v="شاهي مع ليمون، لو سمحت."/>
    <x v="1"/>
    <x v="1"/>
    <x v="2"/>
    <x v="0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0"/>
    <x v="0"/>
    <x v="0"/>
  </r>
  <r>
    <s v="مستبعد جدا ."/>
    <x v="1"/>
    <x v="4"/>
    <x v="3"/>
    <x v="1"/>
  </r>
  <r>
    <s v="اصعد السلم ثم اتجه يميناً . إنه على يسارك ."/>
    <x v="0"/>
    <x v="4"/>
    <x v="6"/>
    <x v="0"/>
  </r>
  <r>
    <s v="اود أن العب التنس."/>
    <x v="1"/>
    <x v="4"/>
    <x v="2"/>
    <x v="1"/>
  </r>
  <r>
    <s v="عندك اطباق قليلة بالسعرات؟ انا ماشي على حمية، دحين."/>
    <x v="2"/>
    <x v="1"/>
    <x v="2"/>
    <x v="0"/>
  </r>
  <r>
    <s v="كيف بدك البيض؟"/>
    <x v="1"/>
    <x v="0"/>
    <x v="0"/>
    <x v="0"/>
  </r>
  <r>
    <s v="ولدت في واحد ابريل سنة الف وتسعمية وخمسة وتسعين."/>
    <x v="0"/>
    <x v="4"/>
    <x v="1"/>
    <x v="1"/>
  </r>
  <r>
    <s v="هذا القطار عيسير طوالي ل أدنبرة؟"/>
    <x v="0"/>
    <x v="6"/>
    <x v="1"/>
    <x v="0"/>
  </r>
  <r>
    <s v="أبا عطر."/>
    <x v="1"/>
    <x v="1"/>
    <x v="2"/>
    <x v="0"/>
  </r>
  <r>
    <s v="هل يمكن أن أترك هذه العربة خارج الردهة ؟"/>
    <x v="0"/>
    <x v="4"/>
    <x v="6"/>
    <x v="0"/>
  </r>
  <r>
    <s v="داير احصل على تأمين."/>
    <x v="1"/>
    <x v="2"/>
    <x v="3"/>
    <x v="0"/>
  </r>
  <r>
    <s v="كم سعر المشروم الطازج؟"/>
    <x v="1"/>
    <x v="4"/>
    <x v="2"/>
    <x v="1"/>
  </r>
  <r>
    <s v="واش هاد القطار كايتوقف فبالتيمور؟"/>
    <x v="0"/>
    <x v="5"/>
    <x v="5"/>
    <x v="0"/>
  </r>
  <r>
    <s v="بتمنى تحب اللون و الموديل ."/>
    <x v="0"/>
    <x v="0"/>
    <x v="0"/>
    <x v="0"/>
  </r>
  <r>
    <s v="كود المنطقة صفرتلاثة. الرقم تلاثة واحد اثنين تلاثة اربعة خمسة ستة سبعة."/>
    <x v="2"/>
    <x v="4"/>
    <x v="4"/>
    <x v="1"/>
  </r>
  <r>
    <s v="وتوا، ويني فاليجتي؟ أوه، هاي وصلت."/>
    <x v="0"/>
    <x v="5"/>
    <x v="5"/>
    <x v="0"/>
  </r>
  <r>
    <s v="ما كان يجب أن يكون كثيراً هكذا ."/>
    <x v="0"/>
    <x v="4"/>
    <x v="6"/>
    <x v="0"/>
  </r>
  <r>
    <s v="الملابس الطويلة هي الموضة الآن ."/>
    <x v="0"/>
    <x v="4"/>
    <x v="6"/>
    <x v="0"/>
  </r>
  <r>
    <s v="عايز لمعة احذية ."/>
    <x v="1"/>
    <x v="2"/>
    <x v="3"/>
    <x v="0"/>
  </r>
  <r>
    <s v="السيارة بتطلع اصوات غريبة."/>
    <x v="0"/>
    <x v="2"/>
    <x v="1"/>
    <x v="1"/>
  </r>
  <r>
    <s v="أين هو أقرب جزار؟"/>
    <x v="1"/>
    <x v="4"/>
    <x v="1"/>
    <x v="1"/>
  </r>
  <r>
    <s v="مسامحة بس في غلط في الفاتورة."/>
    <x v="0"/>
    <x v="1"/>
    <x v="2"/>
    <x v="0"/>
  </r>
  <r>
    <s v="زين. حجزك تاكد."/>
    <x v="1"/>
    <x v="1"/>
    <x v="4"/>
    <x v="1"/>
  </r>
  <r>
    <s v="من فضلك غادر الفندق قبل التاسعة ."/>
    <x v="0"/>
    <x v="4"/>
    <x v="6"/>
    <x v="0"/>
  </r>
  <r>
    <s v="الثنية طويلة؟"/>
    <x v="1"/>
    <x v="1"/>
    <x v="5"/>
    <x v="1"/>
  </r>
  <r>
    <s v="دير بالك، السقف قصير."/>
    <x v="1"/>
    <x v="0"/>
    <x v="0"/>
    <x v="0"/>
  </r>
  <r>
    <s v="عندك حاجة ما أطول شوية؟"/>
    <x v="1"/>
    <x v="1"/>
    <x v="5"/>
    <x v="1"/>
  </r>
  <r>
    <s v="بمجرد النظر إليها تبدو وكأنك قد التقطت بعض العدوى منها ."/>
    <x v="2"/>
    <x v="4"/>
    <x v="6"/>
    <x v="0"/>
  </r>
  <r>
    <s v="عايز الهدوم دى تتكوى."/>
    <x v="1"/>
    <x v="2"/>
    <x v="3"/>
    <x v="0"/>
  </r>
  <r>
    <s v="لا أريد شيئاً آخر ، من فضلك ."/>
    <x v="0"/>
    <x v="4"/>
    <x v="6"/>
    <x v="0"/>
  </r>
  <r>
    <s v="مرجوج، مش مضروب."/>
    <x v="1"/>
    <x v="1"/>
    <x v="3"/>
    <x v="1"/>
  </r>
  <r>
    <s v="انته تروح للمدرية هنا؟"/>
    <x v="1"/>
    <x v="3"/>
    <x v="4"/>
    <x v="0"/>
  </r>
  <r>
    <s v="عادي استخدم ملعب التنس؟"/>
    <x v="1"/>
    <x v="1"/>
    <x v="2"/>
    <x v="0"/>
  </r>
  <r>
    <s v="نعم . هم كذلك ."/>
    <x v="1"/>
    <x v="4"/>
    <x v="6"/>
    <x v="0"/>
  </r>
  <r>
    <s v="وين بقدر أطلع بباص بيلف بالمدينة؟"/>
    <x v="0"/>
    <x v="0"/>
    <x v="0"/>
    <x v="0"/>
  </r>
  <r>
    <s v="ذيك عيوقع كاش والا رسوم؟"/>
    <x v="1"/>
    <x v="1"/>
    <x v="1"/>
    <x v="1"/>
  </r>
  <r>
    <s v="علطول، إذا سمحت ."/>
    <x v="1"/>
    <x v="0"/>
    <x v="3"/>
    <x v="1"/>
  </r>
  <r>
    <s v="لقد كانت المزارات في اليونان تاريخية ."/>
    <x v="0"/>
    <x v="4"/>
    <x v="6"/>
    <x v="0"/>
  </r>
  <r>
    <s v="ناس قليلين اللي هايكونوا في الجولة الاختياري."/>
    <x v="0"/>
    <x v="2"/>
    <x v="3"/>
    <x v="0"/>
  </r>
  <r>
    <s v="أي رسوم بيتضمن؟"/>
    <x v="1"/>
    <x v="1"/>
    <x v="0"/>
    <x v="1"/>
  </r>
  <r>
    <s v="علبة موسيقى ."/>
    <x v="1"/>
    <x v="4"/>
    <x v="0"/>
    <x v="1"/>
  </r>
  <r>
    <s v="ما هو الأفضل ؟"/>
    <x v="1"/>
    <x v="4"/>
    <x v="6"/>
    <x v="0"/>
  </r>
  <r>
    <s v="باش نسافر من اما مطار؟"/>
    <x v="1"/>
    <x v="5"/>
    <x v="5"/>
    <x v="0"/>
  </r>
  <r>
    <s v="عمبتسأل سعر شو هيدا على فاتورتي ."/>
    <x v="0"/>
    <x v="0"/>
    <x v="0"/>
    <x v="0"/>
  </r>
  <r>
    <s v="شا اتصل ب واحد."/>
    <x v="1"/>
    <x v="1"/>
    <x v="1"/>
    <x v="1"/>
  </r>
  <r>
    <s v="ازاي أرجع؟"/>
    <x v="1"/>
    <x v="2"/>
    <x v="3"/>
    <x v="0"/>
  </r>
  <r>
    <s v="هاي الغرفة كولش صغيره."/>
    <x v="1"/>
    <x v="3"/>
    <x v="4"/>
    <x v="0"/>
  </r>
  <r>
    <s v="على الساحل الشرقي، حتلاقي كمان أماكن مشهورة، زي نيويورك، وواشنطن دي سي وبوسطن."/>
    <x v="2"/>
    <x v="2"/>
    <x v="3"/>
    <x v="0"/>
  </r>
  <r>
    <s v="ليش أجرتك غير الذي في العداد؟"/>
    <x v="0"/>
    <x v="1"/>
    <x v="1"/>
    <x v="1"/>
  </r>
  <r>
    <s v="اكو اي ليموزين؟"/>
    <x v="1"/>
    <x v="3"/>
    <x v="4"/>
    <x v="0"/>
  </r>
  <r>
    <s v="كل واحد فينا يفضل يخلص ماكلته بروحه."/>
    <x v="0"/>
    <x v="1"/>
    <x v="5"/>
    <x v="1"/>
  </r>
  <r>
    <s v="ممكن ناخد أوضة على البحر؟"/>
    <x v="1"/>
    <x v="2"/>
    <x v="3"/>
    <x v="0"/>
  </r>
  <r>
    <s v="راني حاب حقيبة ماكياج."/>
    <x v="1"/>
    <x v="5"/>
    <x v="5"/>
    <x v="0"/>
  </r>
  <r>
    <s v="ماعنديش موعد، بلحاق الحالة مستعجلة."/>
    <x v="0"/>
    <x v="2"/>
    <x v="5"/>
    <x v="1"/>
  </r>
  <r>
    <s v="يا اما تصلحه ولا تبدله، لوسمحت."/>
    <x v="0"/>
    <x v="0"/>
    <x v="1"/>
    <x v="1"/>
  </r>
  <r>
    <s v="القهوة مع كريم والسكر، من فضلك."/>
    <x v="0"/>
    <x v="4"/>
    <x v="2"/>
    <x v="1"/>
  </r>
  <r>
    <s v="ممكن تحولي اياهم لدولارات، لو سمحت؟"/>
    <x v="0"/>
    <x v="0"/>
    <x v="0"/>
    <x v="0"/>
  </r>
  <r>
    <s v="اشتي العب تنس."/>
    <x v="1"/>
    <x v="6"/>
    <x v="1"/>
    <x v="0"/>
  </r>
  <r>
    <s v="داير أرسله بالبريد البري او البحري."/>
    <x v="0"/>
    <x v="2"/>
    <x v="3"/>
    <x v="0"/>
  </r>
  <r>
    <s v="في واحد خبط فيا. وبعديها ملقتش محفظتي."/>
    <x v="0"/>
    <x v="2"/>
    <x v="3"/>
    <x v="0"/>
  </r>
  <r>
    <s v="البرفان دة بكام؟"/>
    <x v="1"/>
    <x v="2"/>
    <x v="3"/>
    <x v="0"/>
  </r>
  <r>
    <s v="رح أوصل حوالي الساعة تسعة المسا."/>
    <x v="0"/>
    <x v="0"/>
    <x v="0"/>
    <x v="0"/>
  </r>
  <r>
    <s v="هل اكو اي جوله صباحيي؟"/>
    <x v="1"/>
    <x v="3"/>
    <x v="4"/>
    <x v="0"/>
  </r>
  <r>
    <s v="بس عشان هديه تذكارية . انت عارف، ماعندناش النوع ده من التاكسيات في اليابان ."/>
    <x v="2"/>
    <x v="2"/>
    <x v="3"/>
    <x v="0"/>
  </r>
  <r>
    <s v="عندك تعريفات في الجمعة."/>
    <x v="1"/>
    <x v="1"/>
    <x v="5"/>
    <x v="1"/>
  </r>
  <r>
    <s v="يصير ادفع بجيكات سياحية؟"/>
    <x v="1"/>
    <x v="1"/>
    <x v="2"/>
    <x v="0"/>
  </r>
  <r>
    <s v="بأثر شي اذا دقيتلك بعدين؟"/>
    <x v="1"/>
    <x v="0"/>
    <x v="0"/>
    <x v="0"/>
  </r>
  <r>
    <s v="سبعه، لو سمحت."/>
    <x v="1"/>
    <x v="4"/>
    <x v="1"/>
    <x v="1"/>
  </r>
  <r>
    <s v="كعكة بالتوت للتحلية، وقهوة، عافاك."/>
    <x v="0"/>
    <x v="5"/>
    <x v="5"/>
    <x v="0"/>
  </r>
  <r>
    <s v="اطيق احجز اجر-سيارة هوني؟"/>
    <x v="1"/>
    <x v="3"/>
    <x v="4"/>
    <x v="0"/>
  </r>
  <r>
    <s v="عبي إستمارة التسجيل هذه، لوسمحت."/>
    <x v="0"/>
    <x v="4"/>
    <x v="1"/>
    <x v="1"/>
  </r>
  <r>
    <s v="طلبي ما وصل ."/>
    <x v="1"/>
    <x v="4"/>
    <x v="0"/>
    <x v="1"/>
  </r>
  <r>
    <s v="بينتسائل أيش أشل منه؟"/>
    <x v="1"/>
    <x v="6"/>
    <x v="1"/>
    <x v="0"/>
  </r>
  <r>
    <s v="اي، بعض الغرف تطل على الحديقة، بس يكلفون اكثر."/>
    <x v="0"/>
    <x v="0"/>
    <x v="2"/>
    <x v="1"/>
  </r>
  <r>
    <s v="كم من الوقت يبغاله من هنا إلى سيتي هول مشي على الأقدام؟"/>
    <x v="2"/>
    <x v="1"/>
    <x v="2"/>
    <x v="0"/>
  </r>
  <r>
    <s v="ممكن تعطينا مزاز، لو سمحت؟"/>
    <x v="0"/>
    <x v="0"/>
    <x v="2"/>
    <x v="1"/>
  </r>
  <r>
    <s v="هل يمكنك أن تقوم بضبطها الآن ؟"/>
    <x v="0"/>
    <x v="4"/>
    <x v="6"/>
    <x v="0"/>
  </r>
  <r>
    <s v="به هانا اي بقعه يقبلو الغسيل ايام الاحد؟"/>
    <x v="0"/>
    <x v="3"/>
    <x v="1"/>
    <x v="1"/>
  </r>
  <r>
    <s v="من البيحه."/>
    <x v="1"/>
    <x v="6"/>
    <x v="4"/>
    <x v="1"/>
  </r>
  <r>
    <s v="مافي ادوات مكتبية."/>
    <x v="1"/>
    <x v="1"/>
    <x v="2"/>
    <x v="0"/>
  </r>
  <r>
    <s v="في اكبر؟"/>
    <x v="1"/>
    <x v="4"/>
    <x v="0"/>
    <x v="1"/>
  </r>
  <r>
    <s v="من الأحسن تطلع ف التران تمنيا تلاتين ."/>
    <x v="0"/>
    <x v="5"/>
    <x v="5"/>
    <x v="0"/>
  </r>
  <r>
    <s v="بتقبل أنهى كريديت كاردس؟"/>
    <x v="1"/>
    <x v="2"/>
    <x v="3"/>
    <x v="0"/>
  </r>
  <r>
    <s v="هذا الحجم، رجاءا."/>
    <x v="1"/>
    <x v="4"/>
    <x v="4"/>
    <x v="1"/>
  </r>
  <r>
    <s v="ما اقدر اشوف الشاشة بوضوح من هنا. اقدر اغير مقعدي لفترة؟"/>
    <x v="2"/>
    <x v="1"/>
    <x v="2"/>
    <x v="0"/>
  </r>
  <r>
    <s v="اكيد، اخذ وقتك."/>
    <x v="1"/>
    <x v="0"/>
    <x v="4"/>
    <x v="1"/>
  </r>
  <r>
    <s v="عايزاه بنعل كويس و كعب عالي، من فضلك ."/>
    <x v="0"/>
    <x v="2"/>
    <x v="3"/>
    <x v="0"/>
  </r>
  <r>
    <s v="فعلياً، عندي أخبار. أنا تزوجت."/>
    <x v="0"/>
    <x v="0"/>
    <x v="0"/>
    <x v="0"/>
  </r>
  <r>
    <s v="مية دولار كاش، وثلاثمية دولار بجيكاتي السياحية والكردت كارد."/>
    <x v="2"/>
    <x v="1"/>
    <x v="2"/>
    <x v="0"/>
  </r>
  <r>
    <s v="وين بقدر لائي محل ساعات؟"/>
    <x v="1"/>
    <x v="0"/>
    <x v="0"/>
    <x v="0"/>
  </r>
  <r>
    <s v="هذا مودالنا جديد. سميناه كمبيوتر الحلم."/>
    <x v="0"/>
    <x v="1"/>
    <x v="5"/>
    <x v="1"/>
  </r>
  <r>
    <s v="عفوا. عيوقعين جاهزات في حوالي خمس دقايق."/>
    <x v="0"/>
    <x v="1"/>
    <x v="1"/>
    <x v="1"/>
  </r>
  <r>
    <s v="ارجى دقيقة، لو سمحت."/>
    <x v="1"/>
    <x v="0"/>
    <x v="5"/>
    <x v="1"/>
  </r>
  <r>
    <s v="قهوه مع كريمة و سكر، لوسمحت."/>
    <x v="0"/>
    <x v="4"/>
    <x v="1"/>
    <x v="1"/>
  </r>
  <r>
    <s v="اشعر بالتعب الشديد . من فضلك استدع طبيباً ."/>
    <x v="0"/>
    <x v="4"/>
    <x v="6"/>
    <x v="0"/>
  </r>
  <r>
    <s v="من الصبح."/>
    <x v="1"/>
    <x v="1"/>
    <x v="1"/>
    <x v="1"/>
  </r>
  <r>
    <s v="ده غالي جداً."/>
    <x v="1"/>
    <x v="2"/>
    <x v="3"/>
    <x v="0"/>
  </r>
  <r>
    <s v="اشتي ااكد هذا."/>
    <x v="1"/>
    <x v="6"/>
    <x v="1"/>
    <x v="0"/>
  </r>
  <r>
    <s v="ابغى كوب من القهوة البيضاء، لو سمحت."/>
    <x v="0"/>
    <x v="1"/>
    <x v="2"/>
    <x v="0"/>
  </r>
  <r>
    <s v="علاش غالي برشة البوكسار هذا؟"/>
    <x v="0"/>
    <x v="5"/>
    <x v="5"/>
    <x v="0"/>
  </r>
  <r>
    <s v="ممكن جدول زمني، لو سمحت؟"/>
    <x v="1"/>
    <x v="4"/>
    <x v="1"/>
    <x v="1"/>
  </r>
  <r>
    <s v="اكدر احصلها مشروحة اكثر بالتفاصيل؟"/>
    <x v="0"/>
    <x v="3"/>
    <x v="4"/>
    <x v="0"/>
  </r>
  <r>
    <s v="مسجل ، من فضلك ."/>
    <x v="1"/>
    <x v="4"/>
    <x v="6"/>
    <x v="0"/>
  </r>
  <r>
    <s v="هل هذا هو كل شيء متضمن في الفاتورة ؟"/>
    <x v="0"/>
    <x v="4"/>
    <x v="6"/>
    <x v="0"/>
  </r>
  <r>
    <s v="فقط إذا كانت ملكك ، سيدي . هاها ، مزحة صغيرة ."/>
    <x v="0"/>
    <x v="4"/>
    <x v="6"/>
    <x v="0"/>
  </r>
  <r>
    <s v="انت اسكتلندي؟"/>
    <x v="1"/>
    <x v="4"/>
    <x v="4"/>
    <x v="1"/>
  </r>
  <r>
    <s v="أنا متأكد المجرم قريب."/>
    <x v="1"/>
    <x v="4"/>
    <x v="0"/>
    <x v="1"/>
  </r>
  <r>
    <s v="لكن التكلفة تزداد , أليس كذلك ؟"/>
    <x v="0"/>
    <x v="4"/>
    <x v="6"/>
    <x v="0"/>
  </r>
  <r>
    <s v="هذا كان هو؟"/>
    <x v="1"/>
    <x v="4"/>
    <x v="4"/>
    <x v="1"/>
  </r>
  <r>
    <s v="صاحبي مريض برشا. تنجم تكلم طبيب، يعيشك؟"/>
    <x v="0"/>
    <x v="5"/>
    <x v="5"/>
    <x v="0"/>
  </r>
  <r>
    <s v="هذي فيزا والرقم هو أربعا تسعا صفر ثمانيا واحد خمسا واحد ثنين تلاثا ستا سبعا سبعا ستا صفر صفر أربعا."/>
    <x v="2"/>
    <x v="1"/>
    <x v="5"/>
    <x v="1"/>
  </r>
  <r>
    <s v="هل يمكنني أن أكل كل حبة الفاكهة هذه ؟"/>
    <x v="0"/>
    <x v="4"/>
    <x v="6"/>
    <x v="0"/>
  </r>
  <r>
    <s v="ايوه، كل اللي انت محتاجله شامبو و سيشوار ."/>
    <x v="0"/>
    <x v="2"/>
    <x v="3"/>
    <x v="0"/>
  </r>
  <r>
    <s v="رجاءا اكتب عنوانك هوني."/>
    <x v="1"/>
    <x v="3"/>
    <x v="4"/>
    <x v="0"/>
  </r>
  <r>
    <s v="تركت شنطتي بشي مطرح."/>
    <x v="1"/>
    <x v="0"/>
    <x v="0"/>
    <x v="0"/>
  </r>
  <r>
    <s v="الشي الجنت ادور عليه."/>
    <x v="1"/>
    <x v="1"/>
    <x v="4"/>
    <x v="1"/>
  </r>
  <r>
    <s v="طلع حاجاتي الغالية، لو سمحت."/>
    <x v="0"/>
    <x v="0"/>
    <x v="5"/>
    <x v="1"/>
  </r>
  <r>
    <s v="عمر هاد الورقة عافاك. فين خاصنا نديوه منين نردوه؟"/>
    <x v="0"/>
    <x v="5"/>
    <x v="5"/>
    <x v="0"/>
  </r>
  <r>
    <s v="اه. اكدر اكل وجبتي بعدين؟ احس نفسي متخربط هسه."/>
    <x v="0"/>
    <x v="3"/>
    <x v="4"/>
    <x v="0"/>
  </r>
  <r>
    <s v="أوه، ها هو. وهل لازم كل شخض يملا استمارة البيان الجمركي هذه؟"/>
    <x v="2"/>
    <x v="4"/>
    <x v="2"/>
    <x v="1"/>
  </r>
  <r>
    <s v="وين الأصانصير؟"/>
    <x v="1"/>
    <x v="0"/>
    <x v="0"/>
    <x v="0"/>
  </r>
  <r>
    <s v="معدتي مقلوبة."/>
    <x v="1"/>
    <x v="0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هذا مودالنا جديد. سميناه كمبيوتر الحلم."/>
    <x v="0"/>
    <x v="0"/>
    <x v="0"/>
    <x v="0"/>
  </r>
  <r>
    <s v="زين. حجزك تاكد."/>
    <x v="1"/>
    <x v="1"/>
    <x v="1"/>
    <x v="0"/>
  </r>
  <r>
    <s v="من الصبح."/>
    <x v="1"/>
    <x v="1"/>
    <x v="2"/>
    <x v="0"/>
  </r>
  <r>
    <s v="هذا الحجم، رجاءا."/>
    <x v="1"/>
    <x v="0"/>
    <x v="1"/>
    <x v="0"/>
  </r>
  <r>
    <s v="من البيحه."/>
    <x v="1"/>
    <x v="1"/>
    <x v="1"/>
    <x v="0"/>
  </r>
  <r>
    <s v="بغيتي تبدل هاد العدسات بشي وحدين قصاح؟"/>
    <x v="0"/>
    <x v="2"/>
    <x v="0"/>
    <x v="1"/>
  </r>
  <r>
    <s v="شاهي مع ليمون، لو سمحت."/>
    <x v="1"/>
    <x v="1"/>
    <x v="3"/>
    <x v="1"/>
  </r>
  <r>
    <s v="هل يمكنني أن أكل كل حبة الفاكهة هذه ؟"/>
    <x v="0"/>
    <x v="0"/>
    <x v="4"/>
    <x v="1"/>
  </r>
  <r>
    <s v="انت اسكتلندي؟"/>
    <x v="1"/>
    <x v="0"/>
    <x v="1"/>
    <x v="0"/>
  </r>
  <r>
    <s v="يصير ادفع بجيكات سياحية؟"/>
    <x v="1"/>
    <x v="1"/>
    <x v="3"/>
    <x v="1"/>
  </r>
  <r>
    <s v="عليك أن تحجز مقدما ."/>
    <x v="1"/>
    <x v="0"/>
    <x v="4"/>
    <x v="1"/>
  </r>
  <r>
    <s v="اشعر بالتعب الشديد . من فضلك استدع طبيباً ."/>
    <x v="0"/>
    <x v="0"/>
    <x v="4"/>
    <x v="1"/>
  </r>
  <r>
    <s v="هذا كان هو؟"/>
    <x v="1"/>
    <x v="3"/>
    <x v="1"/>
    <x v="0"/>
  </r>
  <r>
    <s v="مسجل ، من فضلك ."/>
    <x v="1"/>
    <x v="0"/>
    <x v="4"/>
    <x v="1"/>
  </r>
  <r>
    <s v="وين بقدر أطلع بباص بيلف بالمدينة؟"/>
    <x v="0"/>
    <x v="3"/>
    <x v="5"/>
    <x v="1"/>
  </r>
  <r>
    <s v="أبا عطر."/>
    <x v="1"/>
    <x v="1"/>
    <x v="3"/>
    <x v="1"/>
  </r>
  <r>
    <s v="أي رسوم بيتضمن؟"/>
    <x v="1"/>
    <x v="0"/>
    <x v="5"/>
    <x v="0"/>
  </r>
  <r>
    <s v="واش هاد القطار كايتوقف فبالتيمور؟"/>
    <x v="0"/>
    <x v="2"/>
    <x v="0"/>
    <x v="1"/>
  </r>
  <r>
    <s v="رجاءا اكتب عنوانك هوني."/>
    <x v="1"/>
    <x v="3"/>
    <x v="1"/>
    <x v="0"/>
  </r>
  <r>
    <s v="السيارة بتطلع اصوات غريبة."/>
    <x v="0"/>
    <x v="3"/>
    <x v="2"/>
    <x v="0"/>
  </r>
  <r>
    <s v="شا اتصل ب واحد."/>
    <x v="1"/>
    <x v="3"/>
    <x v="2"/>
    <x v="0"/>
  </r>
  <r>
    <s v="علطول، إذا سمحت ."/>
    <x v="1"/>
    <x v="3"/>
    <x v="6"/>
    <x v="0"/>
  </r>
  <r>
    <s v="دير بالك، السقف قصير."/>
    <x v="1"/>
    <x v="3"/>
    <x v="5"/>
    <x v="1"/>
  </r>
  <r>
    <s v="مستبعد جدا ."/>
    <x v="1"/>
    <x v="0"/>
    <x v="6"/>
    <x v="0"/>
  </r>
  <r>
    <s v="ممكن جدول زمني، لو سمحت؟"/>
    <x v="1"/>
    <x v="0"/>
    <x v="2"/>
    <x v="0"/>
  </r>
  <r>
    <s v="بتمنى تحب اللون و الموديل ."/>
    <x v="0"/>
    <x v="3"/>
    <x v="5"/>
    <x v="1"/>
  </r>
  <r>
    <s v="لا أريد شيئاً آخر ، من فضلك ."/>
    <x v="0"/>
    <x v="0"/>
    <x v="4"/>
    <x v="1"/>
  </r>
  <r>
    <s v="تركت شنطتي بشي مطرح."/>
    <x v="1"/>
    <x v="3"/>
    <x v="5"/>
    <x v="1"/>
  </r>
  <r>
    <s v="لكن التكلفة تزداد , أليس كذلك ؟"/>
    <x v="0"/>
    <x v="0"/>
    <x v="4"/>
    <x v="1"/>
  </r>
  <r>
    <s v="هذي فيزا والرقم هو أربعا تسعا صفر ثمانيا واحد خمسا واحد ثنين تلاثا ستا سبعا سبعا ستا صفر صفر أربعا."/>
    <x v="2"/>
    <x v="1"/>
    <x v="0"/>
    <x v="0"/>
  </r>
  <r>
    <s v="مشكور ما قصرت. انا وسيد كوقوري مستانسين ان جينا لندن عشان نجتمع معاك وانت واحد من أهم شركائنا."/>
    <x v="2"/>
    <x v="1"/>
    <x v="3"/>
    <x v="1"/>
  </r>
  <r>
    <s v="هل يمكنك أن تقوم بضبطها الآن ؟"/>
    <x v="0"/>
    <x v="0"/>
    <x v="4"/>
    <x v="1"/>
  </r>
  <r>
    <s v="اي، بعض الغرف تطل على الحديقة، بس يكلفون اكثر."/>
    <x v="0"/>
    <x v="3"/>
    <x v="3"/>
    <x v="0"/>
  </r>
  <r>
    <s v="هاي الغرفة كولش صغيره."/>
    <x v="1"/>
    <x v="4"/>
    <x v="1"/>
    <x v="1"/>
  </r>
  <r>
    <s v="ممكن اشوف السيارة؟"/>
    <x v="1"/>
    <x v="3"/>
    <x v="1"/>
    <x v="0"/>
  </r>
  <r>
    <s v="معدتي مقلوبة."/>
    <x v="1"/>
    <x v="3"/>
    <x v="6"/>
    <x v="0"/>
  </r>
  <r>
    <s v="عمر هاد الورقة عافاك. فين خاصنا نديوه منين نردوه؟"/>
    <x v="0"/>
    <x v="2"/>
    <x v="0"/>
    <x v="1"/>
  </r>
  <r>
    <s v="ينعن. ينعن. ينعن. ينعن. تعودت ع وجها."/>
    <x v="0"/>
    <x v="3"/>
    <x v="5"/>
    <x v="1"/>
  </r>
  <r>
    <s v="اشتي العب تنس."/>
    <x v="1"/>
    <x v="5"/>
    <x v="2"/>
    <x v="1"/>
  </r>
  <r>
    <s v="ذيك عيوقع كاش والا رسوم؟"/>
    <x v="1"/>
    <x v="5"/>
    <x v="2"/>
    <x v="1"/>
  </r>
  <r>
    <s v="في واحد خبط فيا. وبعديها ملقتش محفظتي."/>
    <x v="0"/>
    <x v="6"/>
    <x v="6"/>
    <x v="1"/>
  </r>
  <r>
    <s v="داير احصل على تأمين."/>
    <x v="1"/>
    <x v="6"/>
    <x v="6"/>
    <x v="1"/>
  </r>
  <r>
    <s v="اكو اي ليموزين؟"/>
    <x v="1"/>
    <x v="4"/>
    <x v="1"/>
    <x v="1"/>
  </r>
  <r>
    <s v="عندك حاجة ما أطول شوية؟"/>
    <x v="1"/>
    <x v="6"/>
    <x v="0"/>
    <x v="0"/>
  </r>
  <r>
    <s v="البرفان دة بكام؟"/>
    <x v="1"/>
    <x v="6"/>
    <x v="6"/>
    <x v="1"/>
  </r>
  <r>
    <s v="يا اما تصلحه ولا تبدله، لوسمحت."/>
    <x v="0"/>
    <x v="6"/>
    <x v="2"/>
    <x v="0"/>
  </r>
  <r>
    <s v="بأثر شي اذا دقيتلك بعدين؟"/>
    <x v="1"/>
    <x v="3"/>
    <x v="5"/>
    <x v="1"/>
  </r>
  <r>
    <s v="على الساحل الشرقي، حتلاقي كمان أماكن مشهورة، زي نيويورك، وواشنطن دي سي وبوسطن."/>
    <x v="2"/>
    <x v="6"/>
    <x v="6"/>
    <x v="1"/>
  </r>
  <r>
    <s v="ازاي أرجع؟"/>
    <x v="1"/>
    <x v="6"/>
    <x v="6"/>
    <x v="1"/>
  </r>
  <r>
    <s v="كم من الوقت يبغاله من هنا إلى سيتي هول مشي على الأقدام؟"/>
    <x v="2"/>
    <x v="1"/>
    <x v="3"/>
    <x v="1"/>
  </r>
  <r>
    <s v="أيمكنني أن أبقى ثلاث ليالٍ ؟"/>
    <x v="0"/>
    <x v="0"/>
    <x v="4"/>
    <x v="1"/>
  </r>
  <r>
    <s v="بينتسائل أيش أشل منه؟"/>
    <x v="1"/>
    <x v="5"/>
    <x v="2"/>
    <x v="1"/>
  </r>
  <r>
    <s v="مافي ادوات مكتبية."/>
    <x v="1"/>
    <x v="1"/>
    <x v="3"/>
    <x v="1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3"/>
    <x v="5"/>
    <x v="1"/>
  </r>
  <r>
    <s v="الثنية طويلة؟"/>
    <x v="1"/>
    <x v="2"/>
    <x v="0"/>
    <x v="1"/>
  </r>
  <r>
    <s v="القهوة مع كريم والسكر، من فضلك."/>
    <x v="0"/>
    <x v="0"/>
    <x v="3"/>
    <x v="0"/>
  </r>
  <r>
    <s v="ولدت في واحد ابريل سنة الف وتسعمية وخمسة وتسعين."/>
    <x v="0"/>
    <x v="0"/>
    <x v="2"/>
    <x v="0"/>
  </r>
  <r>
    <s v="عايز الهدوم دى تتكوى."/>
    <x v="1"/>
    <x v="6"/>
    <x v="6"/>
    <x v="1"/>
  </r>
  <r>
    <s v="في اكبر؟"/>
    <x v="1"/>
    <x v="6"/>
    <x v="5"/>
    <x v="0"/>
  </r>
  <r>
    <s v="علاش غالي برشة البوكسار هذا؟"/>
    <x v="0"/>
    <x v="2"/>
    <x v="0"/>
    <x v="1"/>
  </r>
  <r>
    <s v="باش نسافر من اما مطار؟"/>
    <x v="1"/>
    <x v="2"/>
    <x v="0"/>
    <x v="1"/>
  </r>
  <r>
    <s v="مرجوج، مش مضروب."/>
    <x v="1"/>
    <x v="2"/>
    <x v="6"/>
    <x v="0"/>
  </r>
  <r>
    <s v="طلع حاجاتي الغالية، لو سمحت."/>
    <x v="0"/>
    <x v="3"/>
    <x v="0"/>
    <x v="0"/>
  </r>
  <r>
    <s v="هل يمكن أن أترك هذه العربة خارج الردهة ؟"/>
    <x v="0"/>
    <x v="0"/>
    <x v="4"/>
    <x v="1"/>
  </r>
  <r>
    <s v="ممكن تحولي اياهم لدولارات، لو سمحت؟"/>
    <x v="0"/>
    <x v="3"/>
    <x v="5"/>
    <x v="1"/>
  </r>
  <r>
    <s v="ليش أجرتك غير الذي في العداد؟"/>
    <x v="0"/>
    <x v="1"/>
    <x v="2"/>
    <x v="0"/>
  </r>
  <r>
    <s v="مية دولار كاش، وثلاثمية دولار بجيكاتي السياحية والكردت كارد."/>
    <x v="2"/>
    <x v="1"/>
    <x v="3"/>
    <x v="1"/>
  </r>
  <r>
    <s v="ممكن تعطينا مزاز، لو سمحت؟"/>
    <x v="0"/>
    <x v="3"/>
    <x v="3"/>
    <x v="0"/>
  </r>
  <r>
    <s v="هل اكو مطعم اغخص قغيب هوني؟"/>
    <x v="0"/>
    <x v="4"/>
    <x v="1"/>
    <x v="1"/>
  </r>
  <r>
    <s v="نعم . هم كذلك ."/>
    <x v="1"/>
    <x v="0"/>
    <x v="4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1"/>
    <n v="0.55000000000000004"/>
  </r>
  <r>
    <x v="1"/>
    <x v="0"/>
    <n v="16"/>
    <n v="0.8"/>
  </r>
  <r>
    <x v="2"/>
    <x v="0"/>
    <n v="15"/>
    <n v="0.75"/>
  </r>
  <r>
    <x v="3"/>
    <x v="0"/>
    <n v="14"/>
    <n v="0.7"/>
  </r>
  <r>
    <x v="4"/>
    <x v="0"/>
    <n v="4"/>
    <n v="0.2"/>
  </r>
  <r>
    <x v="5"/>
    <x v="0"/>
    <n v="10"/>
    <n v="0.5"/>
  </r>
  <r>
    <x v="6"/>
    <x v="0"/>
    <n v="20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6"/>
    <n v="0.6"/>
  </r>
  <r>
    <x v="1"/>
    <x v="0"/>
    <n v="6"/>
    <n v="0.6"/>
  </r>
  <r>
    <x v="2"/>
    <x v="0"/>
    <n v="8"/>
    <n v="0.8"/>
  </r>
  <r>
    <x v="3"/>
    <x v="0"/>
    <n v="7"/>
    <n v="0.7"/>
  </r>
  <r>
    <x v="4"/>
    <x v="0"/>
    <n v="3"/>
    <n v="0.3"/>
  </r>
  <r>
    <x v="5"/>
    <x v="0"/>
    <n v="3"/>
    <n v="0.3"/>
  </r>
  <r>
    <x v="6"/>
    <x v="0"/>
    <n v="10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8"/>
    <n v="0.6"/>
  </r>
  <r>
    <x v="1"/>
    <x v="0"/>
    <n v="15"/>
    <n v="0.5"/>
  </r>
  <r>
    <x v="2"/>
    <x v="0"/>
    <n v="11"/>
    <n v="0.36666666666666664"/>
  </r>
  <r>
    <x v="3"/>
    <x v="0"/>
    <n v="11"/>
    <n v="0.36666666666666664"/>
  </r>
  <r>
    <x v="4"/>
    <x v="0"/>
    <n v="4"/>
    <n v="0.13333333333333333"/>
  </r>
  <r>
    <x v="5"/>
    <x v="0"/>
    <n v="10"/>
    <n v="0.33333333333333331"/>
  </r>
  <r>
    <x v="6"/>
    <x v="0"/>
    <n v="27"/>
    <n v="0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3C4CE-7D5C-43F9-8EA4-03E66D6605C6}" name="PivotTable5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19:B27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H11" firstHeaderRow="1" firstDataRow="2" firstDataCol="1"/>
  <pivotFields count="5">
    <pivotField dataField="1" showAll="0"/>
    <pivotField showAll="0"/>
    <pivotField axis="axisCol" showAll="0">
      <items count="8">
        <item x="3"/>
        <item x="5"/>
        <item x="2"/>
        <item x="1"/>
        <item x="4"/>
        <item x="0"/>
        <item x="6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2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2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4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2"/>
        <item x="0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8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7ED46-D8D1-47B4-9355-F1B01ABB575F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20:B28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H11" firstHeaderRow="1" firstDataRow="2" firstDataCol="1"/>
  <pivotFields count="5">
    <pivotField dataField="1" showAll="0"/>
    <pivotField showAll="0"/>
    <pivotField axis="axisCol" showAll="0">
      <items count="8">
        <item x="1"/>
        <item x="3"/>
        <item x="0"/>
        <item x="4"/>
        <item x="5"/>
        <item x="2"/>
        <item x="6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15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8">
        <item x="1"/>
        <item x="4"/>
        <item x="3"/>
        <item x="0"/>
        <item x="2"/>
        <item x="6"/>
        <item x="5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058F8-A849-420B-8CA4-A325CD219F6A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21:B29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5"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27"/>
  <sheetViews>
    <sheetView zoomScale="78" workbookViewId="0">
      <selection activeCell="O23" sqref="O23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254</v>
      </c>
      <c r="B3" s="15" t="s">
        <v>252</v>
      </c>
    </row>
    <row r="4" spans="1:8" x14ac:dyDescent="0.3">
      <c r="A4" s="15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  <c r="H4" t="s">
        <v>82</v>
      </c>
    </row>
    <row r="5" spans="1:8" x14ac:dyDescent="0.3">
      <c r="A5" s="16" t="s">
        <v>77</v>
      </c>
      <c r="B5" s="17">
        <v>11</v>
      </c>
      <c r="C5" s="17">
        <v>3</v>
      </c>
      <c r="D5" s="17">
        <v>3</v>
      </c>
      <c r="E5" s="17">
        <v>8</v>
      </c>
      <c r="F5" s="17">
        <v>2</v>
      </c>
      <c r="G5" s="17">
        <v>2</v>
      </c>
      <c r="H5" s="17">
        <v>1</v>
      </c>
    </row>
    <row r="6" spans="1:8" x14ac:dyDescent="0.3">
      <c r="A6" s="16" t="s">
        <v>80</v>
      </c>
      <c r="B6" s="17">
        <v>6</v>
      </c>
      <c r="C6" s="17">
        <v>10</v>
      </c>
      <c r="D6" s="17">
        <v>2</v>
      </c>
      <c r="E6" s="17">
        <v>4</v>
      </c>
      <c r="F6" s="17">
        <v>5</v>
      </c>
      <c r="G6" s="17">
        <v>1</v>
      </c>
      <c r="H6" s="17">
        <v>2</v>
      </c>
    </row>
    <row r="7" spans="1:8" x14ac:dyDescent="0.3">
      <c r="A7" s="16" t="s">
        <v>79</v>
      </c>
      <c r="B7" s="17">
        <v>5</v>
      </c>
      <c r="C7" s="17">
        <v>2</v>
      </c>
      <c r="D7" s="17">
        <v>11</v>
      </c>
      <c r="E7" s="17">
        <v>3</v>
      </c>
      <c r="F7" s="17">
        <v>5</v>
      </c>
      <c r="G7" s="17">
        <v>4</v>
      </c>
      <c r="H7" s="17"/>
    </row>
    <row r="8" spans="1:8" x14ac:dyDescent="0.3">
      <c r="A8" s="16" t="s">
        <v>76</v>
      </c>
      <c r="B8" s="17"/>
      <c r="C8" s="17"/>
      <c r="D8" s="17">
        <v>1</v>
      </c>
      <c r="E8" s="17">
        <v>27</v>
      </c>
      <c r="F8" s="17">
        <v>2</v>
      </c>
      <c r="G8" s="17"/>
      <c r="H8" s="17"/>
    </row>
    <row r="9" spans="1:8" x14ac:dyDescent="0.3">
      <c r="A9" s="16" t="s">
        <v>251</v>
      </c>
      <c r="B9" s="17">
        <v>2</v>
      </c>
      <c r="C9" s="17">
        <v>3</v>
      </c>
      <c r="D9" s="17">
        <v>1</v>
      </c>
      <c r="E9" s="17">
        <v>1</v>
      </c>
      <c r="F9" s="17">
        <v>18</v>
      </c>
      <c r="G9" s="17">
        <v>2</v>
      </c>
      <c r="H9" s="17">
        <v>3</v>
      </c>
    </row>
    <row r="10" spans="1:8" x14ac:dyDescent="0.3">
      <c r="A10" s="16" t="s">
        <v>81</v>
      </c>
      <c r="B10" s="17">
        <v>3</v>
      </c>
      <c r="C10" s="17">
        <v>1</v>
      </c>
      <c r="D10" s="17">
        <v>5</v>
      </c>
      <c r="E10" s="17">
        <v>3</v>
      </c>
      <c r="F10" s="17">
        <v>3</v>
      </c>
      <c r="G10" s="17">
        <v>15</v>
      </c>
      <c r="H10" s="17"/>
    </row>
    <row r="11" spans="1:8" x14ac:dyDescent="0.3">
      <c r="A11" s="16" t="s">
        <v>82</v>
      </c>
      <c r="B11" s="17">
        <v>9</v>
      </c>
      <c r="C11" s="17">
        <v>2</v>
      </c>
      <c r="D11" s="17">
        <v>5</v>
      </c>
      <c r="E11" s="17">
        <v>5</v>
      </c>
      <c r="F11" s="17">
        <v>1</v>
      </c>
      <c r="G11" s="17">
        <v>4</v>
      </c>
      <c r="H11" s="17">
        <v>4</v>
      </c>
    </row>
    <row r="13" spans="1:8" x14ac:dyDescent="0.3">
      <c r="A13" s="15" t="s">
        <v>254</v>
      </c>
      <c r="B13" s="15" t="s">
        <v>252</v>
      </c>
    </row>
    <row r="14" spans="1:8" x14ac:dyDescent="0.3">
      <c r="A14" s="15" t="s">
        <v>253</v>
      </c>
      <c r="B14" t="s">
        <v>260</v>
      </c>
      <c r="C14" t="s">
        <v>261</v>
      </c>
    </row>
    <row r="15" spans="1:8" x14ac:dyDescent="0.3">
      <c r="A15" s="16" t="s">
        <v>255</v>
      </c>
      <c r="B15" s="17">
        <v>11</v>
      </c>
      <c r="C15" s="17">
        <v>7</v>
      </c>
    </row>
    <row r="16" spans="1:8" x14ac:dyDescent="0.3">
      <c r="A16" s="16" t="s">
        <v>256</v>
      </c>
      <c r="B16" s="17">
        <v>41</v>
      </c>
      <c r="C16" s="17">
        <v>54</v>
      </c>
    </row>
    <row r="17" spans="1:3" x14ac:dyDescent="0.3">
      <c r="A17" s="16" t="s">
        <v>257</v>
      </c>
      <c r="B17" s="17">
        <v>62</v>
      </c>
      <c r="C17" s="17">
        <v>35</v>
      </c>
    </row>
    <row r="19" spans="1:3" x14ac:dyDescent="0.3">
      <c r="A19" s="15" t="s">
        <v>262</v>
      </c>
      <c r="B19" s="15" t="s">
        <v>252</v>
      </c>
    </row>
    <row r="20" spans="1:3" x14ac:dyDescent="0.3">
      <c r="A20" s="15" t="s">
        <v>253</v>
      </c>
      <c r="B20">
        <v>30</v>
      </c>
    </row>
    <row r="21" spans="1:3" x14ac:dyDescent="0.3">
      <c r="A21" s="16" t="s">
        <v>77</v>
      </c>
      <c r="B21" s="17">
        <v>11</v>
      </c>
    </row>
    <row r="22" spans="1:3" x14ac:dyDescent="0.3">
      <c r="A22" s="16" t="s">
        <v>80</v>
      </c>
      <c r="B22" s="17">
        <v>10</v>
      </c>
    </row>
    <row r="23" spans="1:3" x14ac:dyDescent="0.3">
      <c r="A23" s="16" t="s">
        <v>79</v>
      </c>
      <c r="B23" s="17">
        <v>11</v>
      </c>
    </row>
    <row r="24" spans="1:3" x14ac:dyDescent="0.3">
      <c r="A24" s="16" t="s">
        <v>76</v>
      </c>
      <c r="B24" s="17">
        <v>27</v>
      </c>
    </row>
    <row r="25" spans="1:3" x14ac:dyDescent="0.3">
      <c r="A25" s="16" t="s">
        <v>251</v>
      </c>
      <c r="B25" s="17">
        <v>18</v>
      </c>
    </row>
    <row r="26" spans="1:3" x14ac:dyDescent="0.3">
      <c r="A26" s="16" t="s">
        <v>81</v>
      </c>
      <c r="B26" s="17">
        <v>15</v>
      </c>
    </row>
    <row r="27" spans="1:3" x14ac:dyDescent="0.3">
      <c r="A27" s="16" t="s">
        <v>82</v>
      </c>
      <c r="B27" s="17">
        <v>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H28"/>
  <sheetViews>
    <sheetView zoomScale="78" workbookViewId="0">
      <selection activeCell="AE5" sqref="AE5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254</v>
      </c>
      <c r="B3" s="15" t="s">
        <v>252</v>
      </c>
    </row>
    <row r="4" spans="1:8" x14ac:dyDescent="0.3">
      <c r="A4" s="15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  <c r="H4" t="s">
        <v>82</v>
      </c>
    </row>
    <row r="5" spans="1:8" x14ac:dyDescent="0.3">
      <c r="A5" s="16" t="s">
        <v>77</v>
      </c>
      <c r="B5" s="17">
        <v>14</v>
      </c>
      <c r="C5" s="17"/>
      <c r="D5" s="17">
        <v>2</v>
      </c>
      <c r="E5" s="17">
        <v>4</v>
      </c>
      <c r="F5" s="17"/>
      <c r="G5" s="17"/>
      <c r="H5" s="17"/>
    </row>
    <row r="6" spans="1:8" x14ac:dyDescent="0.3">
      <c r="A6" s="16" t="s">
        <v>80</v>
      </c>
      <c r="B6" s="17">
        <v>3</v>
      </c>
      <c r="C6" s="17">
        <v>10</v>
      </c>
      <c r="D6" s="17">
        <v>1</v>
      </c>
      <c r="E6" s="17">
        <v>5</v>
      </c>
      <c r="F6" s="17"/>
      <c r="G6" s="17"/>
      <c r="H6" s="17">
        <v>1</v>
      </c>
    </row>
    <row r="7" spans="1:8" x14ac:dyDescent="0.3">
      <c r="A7" s="16" t="s">
        <v>79</v>
      </c>
      <c r="B7" s="17">
        <v>1</v>
      </c>
      <c r="C7" s="17"/>
      <c r="D7" s="17">
        <v>15</v>
      </c>
      <c r="E7" s="17">
        <v>4</v>
      </c>
      <c r="F7" s="17"/>
      <c r="G7" s="17"/>
      <c r="H7" s="17"/>
    </row>
    <row r="8" spans="1:8" x14ac:dyDescent="0.3">
      <c r="A8" s="16" t="s">
        <v>76</v>
      </c>
      <c r="B8" s="17"/>
      <c r="C8" s="17"/>
      <c r="D8" s="17"/>
      <c r="E8" s="17">
        <v>20</v>
      </c>
      <c r="F8" s="17"/>
      <c r="G8" s="17"/>
      <c r="H8" s="17"/>
    </row>
    <row r="9" spans="1:8" x14ac:dyDescent="0.3">
      <c r="A9" s="16" t="s">
        <v>251</v>
      </c>
      <c r="B9" s="17">
        <v>6</v>
      </c>
      <c r="C9" s="17"/>
      <c r="D9" s="17">
        <v>2</v>
      </c>
      <c r="E9" s="17"/>
      <c r="F9" s="17">
        <v>11</v>
      </c>
      <c r="G9" s="17">
        <v>1</v>
      </c>
      <c r="H9" s="17"/>
    </row>
    <row r="10" spans="1:8" x14ac:dyDescent="0.3">
      <c r="A10" s="16" t="s">
        <v>81</v>
      </c>
      <c r="B10" s="17">
        <v>1</v>
      </c>
      <c r="C10" s="17"/>
      <c r="D10" s="17">
        <v>2</v>
      </c>
      <c r="E10" s="17">
        <v>1</v>
      </c>
      <c r="F10" s="17"/>
      <c r="G10" s="17">
        <v>16</v>
      </c>
      <c r="H10" s="17"/>
    </row>
    <row r="11" spans="1:8" x14ac:dyDescent="0.3">
      <c r="A11" s="16" t="s">
        <v>82</v>
      </c>
      <c r="B11" s="17">
        <v>6</v>
      </c>
      <c r="C11" s="17">
        <v>1</v>
      </c>
      <c r="D11" s="17">
        <v>2</v>
      </c>
      <c r="E11" s="17">
        <v>6</v>
      </c>
      <c r="F11" s="17"/>
      <c r="G11" s="17">
        <v>1</v>
      </c>
      <c r="H11" s="17">
        <v>4</v>
      </c>
    </row>
    <row r="13" spans="1:8" x14ac:dyDescent="0.3">
      <c r="A13" s="15" t="s">
        <v>254</v>
      </c>
      <c r="B13" s="15" t="s">
        <v>252</v>
      </c>
    </row>
    <row r="14" spans="1:8" x14ac:dyDescent="0.3">
      <c r="A14" s="15" t="s">
        <v>253</v>
      </c>
      <c r="B14" t="s">
        <v>260</v>
      </c>
      <c r="C14" t="s">
        <v>261</v>
      </c>
    </row>
    <row r="15" spans="1:8" x14ac:dyDescent="0.3">
      <c r="A15" s="16" t="s">
        <v>255</v>
      </c>
      <c r="B15" s="17">
        <v>3</v>
      </c>
      <c r="C15" s="17">
        <v>11</v>
      </c>
    </row>
    <row r="16" spans="1:8" x14ac:dyDescent="0.3">
      <c r="A16" s="16" t="s">
        <v>256</v>
      </c>
      <c r="B16" s="17">
        <v>15</v>
      </c>
      <c r="C16" s="17">
        <v>44</v>
      </c>
    </row>
    <row r="17" spans="1:3" x14ac:dyDescent="0.3">
      <c r="A17" s="16" t="s">
        <v>257</v>
      </c>
      <c r="B17" s="17">
        <v>32</v>
      </c>
      <c r="C17" s="17">
        <v>35</v>
      </c>
    </row>
    <row r="20" spans="1:3" x14ac:dyDescent="0.3">
      <c r="A20" s="15" t="s">
        <v>262</v>
      </c>
      <c r="B20" s="15" t="s">
        <v>252</v>
      </c>
    </row>
    <row r="21" spans="1:3" x14ac:dyDescent="0.3">
      <c r="A21" s="15" t="s">
        <v>253</v>
      </c>
      <c r="B21">
        <v>20</v>
      </c>
    </row>
    <row r="22" spans="1:3" x14ac:dyDescent="0.3">
      <c r="A22" s="16" t="s">
        <v>77</v>
      </c>
      <c r="B22" s="17">
        <v>14</v>
      </c>
    </row>
    <row r="23" spans="1:3" x14ac:dyDescent="0.3">
      <c r="A23" s="16" t="s">
        <v>80</v>
      </c>
      <c r="B23" s="17">
        <v>10</v>
      </c>
    </row>
    <row r="24" spans="1:3" x14ac:dyDescent="0.3">
      <c r="A24" s="16" t="s">
        <v>79</v>
      </c>
      <c r="B24" s="17">
        <v>15</v>
      </c>
    </row>
    <row r="25" spans="1:3" x14ac:dyDescent="0.3">
      <c r="A25" s="16" t="s">
        <v>76</v>
      </c>
      <c r="B25" s="17">
        <v>20</v>
      </c>
    </row>
    <row r="26" spans="1:3" x14ac:dyDescent="0.3">
      <c r="A26" s="16" t="s">
        <v>251</v>
      </c>
      <c r="B26" s="17">
        <v>11</v>
      </c>
    </row>
    <row r="27" spans="1:3" x14ac:dyDescent="0.3">
      <c r="A27" s="16" t="s">
        <v>81</v>
      </c>
      <c r="B27" s="17">
        <v>16</v>
      </c>
    </row>
    <row r="28" spans="1:3" x14ac:dyDescent="0.3">
      <c r="A28" s="16" t="s">
        <v>82</v>
      </c>
      <c r="B28" s="17">
        <v>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29"/>
  <sheetViews>
    <sheetView zoomScale="85" zoomScaleNormal="85" workbookViewId="0">
      <selection activeCell="A21" sqref="A21:B29"/>
    </sheetView>
  </sheetViews>
  <sheetFormatPr defaultRowHeight="14.4" x14ac:dyDescent="0.3"/>
  <cols>
    <col min="1" max="1" width="15.21875" bestFit="1" customWidth="1"/>
    <col min="2" max="2" width="16.44140625" bestFit="1" customWidth="1"/>
    <col min="3" max="3" width="11" bestFit="1" customWidth="1"/>
    <col min="4" max="5" width="2.109375" bestFit="1" customWidth="1"/>
    <col min="6" max="6" width="3.21875" bestFit="1" customWidth="1"/>
    <col min="7" max="8" width="11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254</v>
      </c>
      <c r="B3" s="15" t="s">
        <v>252</v>
      </c>
    </row>
    <row r="4" spans="1:8" x14ac:dyDescent="0.3">
      <c r="A4" s="15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  <c r="H4" t="s">
        <v>82</v>
      </c>
    </row>
    <row r="5" spans="1:8" x14ac:dyDescent="0.3">
      <c r="A5" s="16" t="s">
        <v>77</v>
      </c>
      <c r="B5" s="17">
        <v>7</v>
      </c>
      <c r="C5" s="17"/>
      <c r="D5" s="17">
        <v>2</v>
      </c>
      <c r="E5" s="17">
        <v>1</v>
      </c>
      <c r="F5" s="17"/>
      <c r="G5" s="17"/>
      <c r="H5" s="17"/>
    </row>
    <row r="6" spans="1:8" x14ac:dyDescent="0.3">
      <c r="A6" s="16" t="s">
        <v>80</v>
      </c>
      <c r="B6" s="17">
        <v>2</v>
      </c>
      <c r="C6" s="17">
        <v>3</v>
      </c>
      <c r="D6" s="17">
        <v>3</v>
      </c>
      <c r="E6" s="17">
        <v>2</v>
      </c>
      <c r="F6" s="17"/>
      <c r="G6" s="17"/>
      <c r="H6" s="17"/>
    </row>
    <row r="7" spans="1:8" x14ac:dyDescent="0.3">
      <c r="A7" s="16" t="s">
        <v>79</v>
      </c>
      <c r="B7" s="17"/>
      <c r="C7" s="17"/>
      <c r="D7" s="17">
        <v>8</v>
      </c>
      <c r="E7" s="17">
        <v>1</v>
      </c>
      <c r="F7" s="17"/>
      <c r="G7" s="17">
        <v>1</v>
      </c>
      <c r="H7" s="17"/>
    </row>
    <row r="8" spans="1:8" x14ac:dyDescent="0.3">
      <c r="A8" s="16" t="s">
        <v>76</v>
      </c>
      <c r="B8" s="17"/>
      <c r="C8" s="17"/>
      <c r="D8" s="17"/>
      <c r="E8" s="17">
        <v>10</v>
      </c>
      <c r="F8" s="17"/>
      <c r="G8" s="17"/>
      <c r="H8" s="17"/>
    </row>
    <row r="9" spans="1:8" x14ac:dyDescent="0.3">
      <c r="A9" s="16" t="s">
        <v>251</v>
      </c>
      <c r="B9" s="17">
        <v>1</v>
      </c>
      <c r="C9" s="17"/>
      <c r="D9" s="17">
        <v>1</v>
      </c>
      <c r="E9" s="17">
        <v>1</v>
      </c>
      <c r="F9" s="17">
        <v>6</v>
      </c>
      <c r="G9" s="17">
        <v>1</v>
      </c>
      <c r="H9" s="17"/>
    </row>
    <row r="10" spans="1:8" x14ac:dyDescent="0.3">
      <c r="A10" s="16" t="s">
        <v>81</v>
      </c>
      <c r="B10" s="17"/>
      <c r="C10" s="17"/>
      <c r="D10" s="17">
        <v>2</v>
      </c>
      <c r="E10" s="17">
        <v>1</v>
      </c>
      <c r="F10" s="17">
        <v>1</v>
      </c>
      <c r="G10" s="17">
        <v>6</v>
      </c>
      <c r="H10" s="17"/>
    </row>
    <row r="11" spans="1:8" x14ac:dyDescent="0.3">
      <c r="A11" s="16" t="s">
        <v>82</v>
      </c>
      <c r="B11" s="17">
        <v>2</v>
      </c>
      <c r="C11" s="17"/>
      <c r="D11" s="17">
        <v>2</v>
      </c>
      <c r="E11" s="17">
        <v>2</v>
      </c>
      <c r="F11" s="17"/>
      <c r="G11" s="17">
        <v>1</v>
      </c>
      <c r="H11" s="17">
        <v>3</v>
      </c>
    </row>
    <row r="13" spans="1:8" x14ac:dyDescent="0.3">
      <c r="A13" s="15" t="s">
        <v>254</v>
      </c>
      <c r="B13" s="15" t="s">
        <v>252</v>
      </c>
    </row>
    <row r="14" spans="1:8" x14ac:dyDescent="0.3">
      <c r="A14" s="15" t="s">
        <v>253</v>
      </c>
      <c r="B14" t="s">
        <v>260</v>
      </c>
      <c r="C14" t="s">
        <v>261</v>
      </c>
    </row>
    <row r="15" spans="1:8" x14ac:dyDescent="0.3">
      <c r="A15" s="16" t="s">
        <v>255</v>
      </c>
      <c r="B15" s="17">
        <v>1</v>
      </c>
      <c r="C15" s="17">
        <v>5</v>
      </c>
    </row>
    <row r="16" spans="1:8" x14ac:dyDescent="0.3">
      <c r="A16" s="16" t="s">
        <v>256</v>
      </c>
      <c r="B16" s="17">
        <v>9</v>
      </c>
      <c r="C16" s="17">
        <v>17</v>
      </c>
    </row>
    <row r="17" spans="1:3" x14ac:dyDescent="0.3">
      <c r="A17" s="16" t="s">
        <v>257</v>
      </c>
      <c r="B17" s="17">
        <v>17</v>
      </c>
      <c r="C17" s="17">
        <v>21</v>
      </c>
    </row>
    <row r="21" spans="1:3" x14ac:dyDescent="0.3">
      <c r="A21" s="15" t="s">
        <v>262</v>
      </c>
      <c r="B21" s="15" t="s">
        <v>252</v>
      </c>
    </row>
    <row r="22" spans="1:3" x14ac:dyDescent="0.3">
      <c r="A22" s="15" t="s">
        <v>253</v>
      </c>
      <c r="B22">
        <v>10</v>
      </c>
    </row>
    <row r="23" spans="1:3" x14ac:dyDescent="0.3">
      <c r="A23" s="16" t="s">
        <v>77</v>
      </c>
      <c r="B23" s="17">
        <v>7</v>
      </c>
    </row>
    <row r="24" spans="1:3" x14ac:dyDescent="0.3">
      <c r="A24" s="16" t="s">
        <v>80</v>
      </c>
      <c r="B24" s="17">
        <v>3</v>
      </c>
    </row>
    <row r="25" spans="1:3" x14ac:dyDescent="0.3">
      <c r="A25" s="16" t="s">
        <v>79</v>
      </c>
      <c r="B25" s="17">
        <v>8</v>
      </c>
    </row>
    <row r="26" spans="1:3" x14ac:dyDescent="0.3">
      <c r="A26" s="16" t="s">
        <v>76</v>
      </c>
      <c r="B26" s="17">
        <v>10</v>
      </c>
    </row>
    <row r="27" spans="1:3" x14ac:dyDescent="0.3">
      <c r="A27" s="16" t="s">
        <v>251</v>
      </c>
      <c r="B27" s="17">
        <v>6</v>
      </c>
    </row>
    <row r="28" spans="1:3" x14ac:dyDescent="0.3">
      <c r="A28" s="16" t="s">
        <v>81</v>
      </c>
      <c r="B28" s="17">
        <v>6</v>
      </c>
    </row>
    <row r="29" spans="1:3" x14ac:dyDescent="0.3">
      <c r="A29" s="16" t="s">
        <v>82</v>
      </c>
      <c r="B29" s="17">
        <v>3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C1" zoomScale="87" workbookViewId="0">
      <selection activeCell="K6" sqref="K6:K1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2.55468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" t="s">
        <v>4</v>
      </c>
      <c r="C2" s="1" t="str" cm="1">
        <f t="array" ref="C2">_xlfn.IFS(LEN(B2) &lt;= 25, "Short", AND(LEN(B2) &gt; 25, LEN(B2) &lt;= 50), "Medium", LEN(B2) &gt; 50, "Long")</f>
        <v>Medium</v>
      </c>
      <c r="D2" s="14" t="s">
        <v>76</v>
      </c>
      <c r="E2" s="1" t="s">
        <v>251</v>
      </c>
      <c r="F2" s="1" t="b">
        <f>IF(D2=E2, TRUE, FALSE)</f>
        <v>0</v>
      </c>
      <c r="H2" s="1">
        <f>COUNTA(B2:B71)</f>
        <v>70</v>
      </c>
      <c r="I2" s="1">
        <f>COUNTIF(F2:F71, TRUE)</f>
        <v>43</v>
      </c>
      <c r="J2" s="4">
        <f>(I2/H2)</f>
        <v>0.61428571428571432</v>
      </c>
    </row>
    <row r="3" spans="1:12" x14ac:dyDescent="0.3">
      <c r="A3" s="1">
        <v>2</v>
      </c>
      <c r="B3" s="1" t="s">
        <v>5</v>
      </c>
      <c r="C3" s="12" t="str" cm="1">
        <f t="array" ref="C3">_xlfn.IFS(LEN(B3) &lt;= 25, "Short", AND(LEN(B3) &gt; 25, LEN(B3) &lt;= 50), "Medium", LEN(B3) &gt; 50, "Long")</f>
        <v>Short</v>
      </c>
      <c r="D3" s="14" t="s">
        <v>77</v>
      </c>
      <c r="E3" s="1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" t="s">
        <v>6</v>
      </c>
      <c r="C4" s="12" t="str" cm="1">
        <f t="array" ref="C4">_xlfn.IFS(LEN(B4) &lt;= 25, "Short", AND(LEN(B4) &gt; 25, LEN(B4) &lt;= 50), "Medium", LEN(B4) &gt; 50, "Long")</f>
        <v>Short</v>
      </c>
      <c r="D4" s="14" t="s">
        <v>77</v>
      </c>
      <c r="E4" s="1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" t="s">
        <v>7</v>
      </c>
      <c r="C5" s="12" t="str" cm="1">
        <f t="array" ref="C5">_xlfn.IFS(LEN(B5) &lt;= 25, "Short", AND(LEN(B5) &gt; 25, LEN(B5) &lt;= 50), "Medium", LEN(B5) &gt; 50, "Long")</f>
        <v>Short</v>
      </c>
      <c r="D5" s="14" t="s">
        <v>76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" t="s">
        <v>8</v>
      </c>
      <c r="C6" s="12" t="str" cm="1">
        <f t="array" ref="C6">_xlfn.IFS(LEN(B6) &lt;= 25, "Short", AND(LEN(B6) &gt; 25, LEN(B6) &lt;= 50), "Medium", LEN(B6) &gt; 50, "Long")</f>
        <v>Short</v>
      </c>
      <c r="D6" s="14" t="s">
        <v>77</v>
      </c>
      <c r="E6" s="1" t="s">
        <v>80</v>
      </c>
      <c r="F6" s="13" t="b">
        <f t="shared" si="0"/>
        <v>0</v>
      </c>
      <c r="H6" s="1" t="s">
        <v>251</v>
      </c>
      <c r="I6" s="1">
        <f>COUNTIF($E$2:$E$71,H6)</f>
        <v>10</v>
      </c>
      <c r="J6" s="1">
        <f>COUNTIFS($E$2:$E$71, H6, $D$2:$D$71, H6)</f>
        <v>6</v>
      </c>
      <c r="K6" s="3">
        <f>J6/I6</f>
        <v>0.6</v>
      </c>
    </row>
    <row r="7" spans="1:12" x14ac:dyDescent="0.3">
      <c r="A7" s="1">
        <v>6</v>
      </c>
      <c r="B7" s="1" t="s">
        <v>9</v>
      </c>
      <c r="C7" s="12" t="str" cm="1">
        <f t="array" ref="C7">_xlfn.IFS(LEN(B7) &lt;= 25, "Short", AND(LEN(B7) &gt; 25, LEN(B7) &lt;= 50), "Medium", LEN(B7) &gt; 50, "Long")</f>
        <v>Medium</v>
      </c>
      <c r="D7" s="14" t="s">
        <v>251</v>
      </c>
      <c r="E7" s="1" t="s">
        <v>251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6</v>
      </c>
      <c r="K7" s="3">
        <f t="shared" ref="K7:K12" si="3">J7/I7</f>
        <v>0.6</v>
      </c>
    </row>
    <row r="8" spans="1:12" x14ac:dyDescent="0.3">
      <c r="A8" s="1">
        <v>7</v>
      </c>
      <c r="B8" s="1" t="s">
        <v>10</v>
      </c>
      <c r="C8" s="12" t="str" cm="1">
        <f t="array" ref="C8">_xlfn.IFS(LEN(B8) &lt;= 25, "Short", AND(LEN(B8) &gt; 25, LEN(B8) &lt;= 50), "Medium", LEN(B8) &gt; 50, "Long")</f>
        <v>Short</v>
      </c>
      <c r="D8" s="14" t="s">
        <v>77</v>
      </c>
      <c r="E8" s="1" t="s">
        <v>77</v>
      </c>
      <c r="F8" s="13" t="b">
        <f t="shared" si="0"/>
        <v>1</v>
      </c>
      <c r="H8" s="1" t="s">
        <v>79</v>
      </c>
      <c r="I8" s="1">
        <f t="shared" si="1"/>
        <v>10</v>
      </c>
      <c r="J8" s="1">
        <f t="shared" si="2"/>
        <v>8</v>
      </c>
      <c r="K8" s="3">
        <f t="shared" si="3"/>
        <v>0.8</v>
      </c>
    </row>
    <row r="9" spans="1:12" x14ac:dyDescent="0.3">
      <c r="A9" s="1">
        <v>8</v>
      </c>
      <c r="B9" s="1" t="s">
        <v>11</v>
      </c>
      <c r="C9" s="12" t="str" cm="1">
        <f t="array" ref="C9">_xlfn.IFS(LEN(B9) &lt;= 25, "Short", AND(LEN(B9) &gt; 25, LEN(B9) &lt;= 50), "Medium", LEN(B9) &gt; 50, "Long")</f>
        <v>Medium</v>
      </c>
      <c r="D9" s="14" t="s">
        <v>76</v>
      </c>
      <c r="E9" s="1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7</v>
      </c>
      <c r="K9" s="3">
        <f t="shared" si="3"/>
        <v>0.7</v>
      </c>
    </row>
    <row r="10" spans="1:12" x14ac:dyDescent="0.3">
      <c r="A10" s="1">
        <v>9</v>
      </c>
      <c r="B10" s="1" t="s">
        <v>12</v>
      </c>
      <c r="C10" s="12" t="str" cm="1">
        <f t="array" ref="C10">_xlfn.IFS(LEN(B10) &lt;= 25, "Short", AND(LEN(B10) &gt; 25, LEN(B10) &lt;= 50), "Medium", LEN(B10) &gt; 50, "Long")</f>
        <v>Short</v>
      </c>
      <c r="D10" s="14" t="s">
        <v>76</v>
      </c>
      <c r="E10" s="1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3</v>
      </c>
      <c r="K10" s="3">
        <f t="shared" si="3"/>
        <v>0.3</v>
      </c>
    </row>
    <row r="11" spans="1:12" x14ac:dyDescent="0.3">
      <c r="A11" s="1">
        <v>10</v>
      </c>
      <c r="B11" s="1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4" t="s">
        <v>77</v>
      </c>
      <c r="E11" s="1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3</v>
      </c>
      <c r="K11" s="3">
        <f t="shared" si="3"/>
        <v>0.3</v>
      </c>
    </row>
    <row r="12" spans="1:12" x14ac:dyDescent="0.3">
      <c r="A12" s="1">
        <v>11</v>
      </c>
      <c r="B12" s="1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4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1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4" t="s">
        <v>76</v>
      </c>
      <c r="E13" s="1" t="s">
        <v>76</v>
      </c>
      <c r="F13" s="13" t="b">
        <f t="shared" si="0"/>
        <v>1</v>
      </c>
    </row>
    <row r="14" spans="1:12" x14ac:dyDescent="0.3">
      <c r="A14" s="1">
        <v>13</v>
      </c>
      <c r="B14" s="1" t="s">
        <v>16</v>
      </c>
      <c r="C14" s="12" t="str" cm="1">
        <f t="array" ref="C14">_xlfn.IFS(LEN(B14) &lt;= 25, "Short", AND(LEN(B14) &gt; 25, LEN(B14) &lt;= 50), "Medium", LEN(B14) &gt; 50, "Long")</f>
        <v>Short</v>
      </c>
      <c r="D14" s="14" t="s">
        <v>79</v>
      </c>
      <c r="E14" s="1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" t="s">
        <v>17</v>
      </c>
      <c r="C15" s="12" t="str" cm="1">
        <f t="array" ref="C15">_xlfn.IFS(LEN(B15) &lt;= 25, "Short", AND(LEN(B15) &gt; 25, LEN(B15) &lt;= 50), "Medium", LEN(B15) &gt; 50, "Long")</f>
        <v>Short</v>
      </c>
      <c r="D15" s="14" t="s">
        <v>76</v>
      </c>
      <c r="E15" s="1" t="s">
        <v>76</v>
      </c>
      <c r="F15" s="13" t="b">
        <f t="shared" si="0"/>
        <v>1</v>
      </c>
      <c r="H15" s="1" t="s">
        <v>257</v>
      </c>
      <c r="I15" s="1">
        <f>COUNTIF(C2:C71, "Short")</f>
        <v>38</v>
      </c>
      <c r="J15" s="1">
        <f>COUNTIFS(C2:C71, "Short", F2:F71, TRUE)</f>
        <v>21</v>
      </c>
      <c r="K15" s="4">
        <f>J15/I15</f>
        <v>0.55263157894736847</v>
      </c>
    </row>
    <row r="16" spans="1:12" x14ac:dyDescent="0.3">
      <c r="A16" s="1">
        <v>15</v>
      </c>
      <c r="B16" s="1" t="s">
        <v>18</v>
      </c>
      <c r="C16" s="12" t="str" cm="1">
        <f t="array" ref="C16">_xlfn.IFS(LEN(B16) &lt;= 25, "Short", AND(LEN(B16) &gt; 25, LEN(B16) &lt;= 50), "Medium", LEN(B16) &gt; 50, "Long")</f>
        <v>Medium</v>
      </c>
      <c r="D16" s="14" t="s">
        <v>79</v>
      </c>
      <c r="E16" s="1" t="s">
        <v>79</v>
      </c>
      <c r="F16" s="13" t="b">
        <f t="shared" si="0"/>
        <v>1</v>
      </c>
      <c r="H16" s="1" t="s">
        <v>256</v>
      </c>
      <c r="I16" s="6">
        <f>COUNTIF(C2:C71, "Medium")</f>
        <v>26</v>
      </c>
      <c r="J16" s="1">
        <f>COUNTIFS(C2:C71, "Medium", F2:F71, TRUE)</f>
        <v>17</v>
      </c>
      <c r="K16" s="4">
        <f t="shared" ref="K16:K17" si="4">J16/I16</f>
        <v>0.65384615384615385</v>
      </c>
    </row>
    <row r="17" spans="1:11" x14ac:dyDescent="0.3">
      <c r="A17" s="1">
        <v>16</v>
      </c>
      <c r="B17" s="1" t="s">
        <v>19</v>
      </c>
      <c r="C17" s="12" t="str" cm="1">
        <f t="array" ref="C17">_xlfn.IFS(LEN(B17) &lt;= 25, "Short", AND(LEN(B17) &gt; 25, LEN(B17) &lt;= 50), "Medium", LEN(B17) &gt; 50, "Long")</f>
        <v>Short</v>
      </c>
      <c r="D17" s="14" t="s">
        <v>77</v>
      </c>
      <c r="E17" s="1" t="s">
        <v>77</v>
      </c>
      <c r="F17" s="13" t="b">
        <f t="shared" si="0"/>
        <v>1</v>
      </c>
      <c r="H17" s="1" t="s">
        <v>255</v>
      </c>
      <c r="I17" s="1">
        <f>COUNTIF(C2:C71, "Long")</f>
        <v>6</v>
      </c>
      <c r="J17" s="1">
        <f>COUNTIFS(C2:C71, "Long", F2:F71, TRUE)</f>
        <v>5</v>
      </c>
      <c r="K17" s="4">
        <f t="shared" si="4"/>
        <v>0.83333333333333337</v>
      </c>
    </row>
    <row r="18" spans="1:11" x14ac:dyDescent="0.3">
      <c r="A18" s="1">
        <v>17</v>
      </c>
      <c r="B18" s="1" t="s">
        <v>20</v>
      </c>
      <c r="C18" s="12" t="str" cm="1">
        <f t="array" ref="C18">_xlfn.IFS(LEN(B18) &lt;= 25, "Short", AND(LEN(B18) &gt; 25, LEN(B18) &lt;= 50), "Medium", LEN(B18) &gt; 50, "Long")</f>
        <v>Short</v>
      </c>
      <c r="D18" s="14" t="s">
        <v>76</v>
      </c>
      <c r="E18" s="1" t="s">
        <v>79</v>
      </c>
      <c r="F18" s="13" t="b">
        <f t="shared" si="0"/>
        <v>0</v>
      </c>
    </row>
    <row r="19" spans="1:11" x14ac:dyDescent="0.3">
      <c r="A19" s="1">
        <v>18</v>
      </c>
      <c r="B19" s="1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4" t="s">
        <v>251</v>
      </c>
      <c r="E19" s="1" t="s">
        <v>251</v>
      </c>
      <c r="F19" s="13" t="b">
        <f t="shared" si="0"/>
        <v>1</v>
      </c>
      <c r="H19" s="19" t="s">
        <v>247</v>
      </c>
      <c r="I19" s="19"/>
      <c r="J19"/>
      <c r="K19"/>
    </row>
    <row r="20" spans="1:11" x14ac:dyDescent="0.3">
      <c r="A20" s="1">
        <v>19</v>
      </c>
      <c r="B20" s="1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4" t="s">
        <v>79</v>
      </c>
      <c r="E20" s="1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" t="s">
        <v>23</v>
      </c>
      <c r="C21" s="12" t="str" cm="1">
        <f t="array" ref="C21">_xlfn.IFS(LEN(B21) &lt;= 25, "Short", AND(LEN(B21) &gt; 25, LEN(B21) &lt;= 50), "Medium", LEN(B21) &gt; 50, "Long")</f>
        <v>Medium</v>
      </c>
      <c r="D21" s="14" t="s">
        <v>79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0.2</v>
      </c>
    </row>
    <row r="22" spans="1:11" x14ac:dyDescent="0.3">
      <c r="A22" s="1">
        <v>21</v>
      </c>
      <c r="B22" s="1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4" t="s">
        <v>79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" t="s">
        <v>25</v>
      </c>
      <c r="C23" s="12" t="str" cm="1">
        <f t="array" ref="C23">_xlfn.IFS(LEN(B23) &lt;= 25, "Short", AND(LEN(B23) &gt; 25, LEN(B23) &lt;= 50), "Medium", LEN(B23) &gt; 50, "Long")</f>
        <v>Short</v>
      </c>
      <c r="D23" s="14" t="s">
        <v>79</v>
      </c>
      <c r="E23" s="1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4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" t="s">
        <v>27</v>
      </c>
      <c r="C25" s="12" t="str" cm="1">
        <f t="array" ref="C25">_xlfn.IFS(LEN(B25) &lt;= 25, "Short", AND(LEN(B25) &gt; 25, LEN(B25) &lt;= 50), "Medium", LEN(B25) &gt; 50, "Long")</f>
        <v>Short</v>
      </c>
      <c r="D25" s="14" t="s">
        <v>76</v>
      </c>
      <c r="E25" s="1" t="s">
        <v>81</v>
      </c>
      <c r="F25" s="13" t="b">
        <f t="shared" si="0"/>
        <v>0</v>
      </c>
      <c r="H25" s="9" t="s">
        <v>251</v>
      </c>
      <c r="I25" s="9" t="s">
        <v>81</v>
      </c>
      <c r="J25" s="7">
        <f t="shared" si="5"/>
        <v>1</v>
      </c>
      <c r="K25" s="10">
        <f>J25/I6</f>
        <v>0.1</v>
      </c>
    </row>
    <row r="26" spans="1:11" x14ac:dyDescent="0.3">
      <c r="A26" s="1">
        <v>25</v>
      </c>
      <c r="B26" s="1" t="s">
        <v>28</v>
      </c>
      <c r="C26" s="12" t="str" cm="1">
        <f t="array" ref="C26">_xlfn.IFS(LEN(B26) &lt;= 25, "Short", AND(LEN(B26) &gt; 25, LEN(B26) &lt;= 50), "Medium", LEN(B26) &gt; 50, "Long")</f>
        <v>Short</v>
      </c>
      <c r="D26" s="14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251</v>
      </c>
      <c r="J26" s="7">
        <f t="shared" ref="J26:J32" si="6">COUNTIFS($D$2:$D$71, I26, $E$2:$E$71, H26)</f>
        <v>1</v>
      </c>
      <c r="K26" s="10">
        <f>J26/I7</f>
        <v>0.1</v>
      </c>
    </row>
    <row r="27" spans="1:11" x14ac:dyDescent="0.3">
      <c r="A27" s="1">
        <v>26</v>
      </c>
      <c r="B27" s="1" t="s">
        <v>29</v>
      </c>
      <c r="C27" s="12" t="str" cm="1">
        <f t="array" ref="C27">_xlfn.IFS(LEN(B27) &lt;= 25, "Short", AND(LEN(B27) &gt; 25, LEN(B27) &lt;= 50), "Medium", LEN(B27) &gt; 50, "Long")</f>
        <v>Medium</v>
      </c>
      <c r="D27" s="14" t="s">
        <v>79</v>
      </c>
      <c r="E27" s="1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4" t="s">
        <v>76</v>
      </c>
      <c r="E28" s="1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4" t="s">
        <v>79</v>
      </c>
      <c r="E29" s="1" t="s">
        <v>79</v>
      </c>
      <c r="F29" s="13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4" t="s">
        <v>76</v>
      </c>
      <c r="E30" s="1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" t="s">
        <v>33</v>
      </c>
      <c r="C31" s="12" t="str" cm="1">
        <f t="array" ref="C31">_xlfn.IFS(LEN(B31) &lt;= 25, "Short", AND(LEN(B31) &gt; 25, LEN(B31) &lt;= 50), "Medium", LEN(B31) &gt; 50, "Long")</f>
        <v>Long</v>
      </c>
      <c r="D31" s="14" t="s">
        <v>77</v>
      </c>
      <c r="E31" s="1" t="s">
        <v>251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" t="s">
        <v>34</v>
      </c>
      <c r="C32" s="12" t="str" cm="1">
        <f t="array" ref="C32">_xlfn.IFS(LEN(B32) &lt;= 25, "Short", AND(LEN(B32) &gt; 25, LEN(B32) &lt;= 50), "Medium", LEN(B32) &gt; 50, "Long")</f>
        <v>Long</v>
      </c>
      <c r="D32" s="14" t="s">
        <v>77</v>
      </c>
      <c r="E32" s="1" t="s">
        <v>77</v>
      </c>
      <c r="F32" s="13" t="b">
        <f t="shared" si="0"/>
        <v>1</v>
      </c>
      <c r="H32" s="1" t="s">
        <v>80</v>
      </c>
      <c r="I32" s="1" t="s">
        <v>76</v>
      </c>
      <c r="J32" s="1">
        <f t="shared" si="6"/>
        <v>2</v>
      </c>
      <c r="K32" s="10">
        <f>J32/I11</f>
        <v>0.2</v>
      </c>
    </row>
    <row r="33" spans="1:6" x14ac:dyDescent="0.3">
      <c r="A33" s="1">
        <v>32</v>
      </c>
      <c r="B33" s="1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4" t="s">
        <v>76</v>
      </c>
      <c r="E33" s="1" t="s">
        <v>76</v>
      </c>
      <c r="F33" s="13" t="b">
        <f t="shared" si="0"/>
        <v>1</v>
      </c>
    </row>
    <row r="34" spans="1:6" x14ac:dyDescent="0.3">
      <c r="A34" s="1">
        <v>33</v>
      </c>
      <c r="B34" s="1" t="s">
        <v>36</v>
      </c>
      <c r="C34" s="12" t="str" cm="1">
        <f t="array" ref="C34">_xlfn.IFS(LEN(B34) &lt;= 25, "Short", AND(LEN(B34) &gt; 25, LEN(B34) &lt;= 50), "Medium", LEN(B34) &gt; 50, "Long")</f>
        <v>Medium</v>
      </c>
      <c r="D34" s="14" t="s">
        <v>79</v>
      </c>
      <c r="E34" s="1" t="s">
        <v>77</v>
      </c>
      <c r="F34" s="13" t="b">
        <f t="shared" si="0"/>
        <v>0</v>
      </c>
    </row>
    <row r="35" spans="1:6" x14ac:dyDescent="0.3">
      <c r="A35" s="1">
        <v>34</v>
      </c>
      <c r="B35" s="1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4" t="s">
        <v>80</v>
      </c>
      <c r="E35" s="1" t="s">
        <v>80</v>
      </c>
      <c r="F35" s="13" t="b">
        <f t="shared" si="0"/>
        <v>1</v>
      </c>
    </row>
    <row r="36" spans="1:6" x14ac:dyDescent="0.3">
      <c r="A36" s="1">
        <v>35</v>
      </c>
      <c r="B36" s="1" t="s">
        <v>38</v>
      </c>
      <c r="C36" s="12" t="str" cm="1">
        <f t="array" ref="C36">_xlfn.IFS(LEN(B36) &lt;= 25, "Short", AND(LEN(B36) &gt; 25, LEN(B36) &lt;= 50), "Medium", LEN(B36) &gt; 50, "Long")</f>
        <v>Short</v>
      </c>
      <c r="D36" s="14" t="s">
        <v>79</v>
      </c>
      <c r="E36" s="1" t="s">
        <v>80</v>
      </c>
      <c r="F36" s="13" t="b">
        <f t="shared" si="0"/>
        <v>0</v>
      </c>
    </row>
    <row r="37" spans="1:6" x14ac:dyDescent="0.3">
      <c r="A37" s="1">
        <v>36</v>
      </c>
      <c r="B37" s="1" t="s">
        <v>39</v>
      </c>
      <c r="C37" s="12" t="str" cm="1">
        <f t="array" ref="C37">_xlfn.IFS(LEN(B37) &lt;= 25, "Short", AND(LEN(B37) &gt; 25, LEN(B37) &lt;= 50), "Medium", LEN(B37) &gt; 50, "Long")</f>
        <v>Short</v>
      </c>
      <c r="D37" s="14" t="s">
        <v>79</v>
      </c>
      <c r="E37" s="1" t="s">
        <v>81</v>
      </c>
      <c r="F37" s="13" t="b">
        <f t="shared" si="0"/>
        <v>0</v>
      </c>
    </row>
    <row r="38" spans="1:6" x14ac:dyDescent="0.3">
      <c r="A38" s="1">
        <v>37</v>
      </c>
      <c r="B38" s="1" t="s">
        <v>40</v>
      </c>
      <c r="C38" s="12" t="str" cm="1">
        <f t="array" ref="C38">_xlfn.IFS(LEN(B38) &lt;= 25, "Short", AND(LEN(B38) &gt; 25, LEN(B38) &lt;= 50), "Medium", LEN(B38) &gt; 50, "Long")</f>
        <v>Medium</v>
      </c>
      <c r="D38" s="14" t="s">
        <v>251</v>
      </c>
      <c r="E38" s="1" t="s">
        <v>251</v>
      </c>
      <c r="F38" s="13" t="b">
        <f t="shared" si="0"/>
        <v>1</v>
      </c>
    </row>
    <row r="39" spans="1:6" x14ac:dyDescent="0.3">
      <c r="A39" s="1">
        <v>38</v>
      </c>
      <c r="B39" s="1" t="s">
        <v>41</v>
      </c>
      <c r="C39" s="12" t="str" cm="1">
        <f t="array" ref="C39">_xlfn.IFS(LEN(B39) &lt;= 25, "Short", AND(LEN(B39) &gt; 25, LEN(B39) &lt;= 50), "Medium", LEN(B39) &gt; 50, "Long")</f>
        <v>Medium</v>
      </c>
      <c r="D39" s="14" t="s">
        <v>79</v>
      </c>
      <c r="E39" s="1" t="s">
        <v>79</v>
      </c>
      <c r="F39" s="13" t="b">
        <f t="shared" si="0"/>
        <v>1</v>
      </c>
    </row>
    <row r="40" spans="1:6" x14ac:dyDescent="0.3">
      <c r="A40" s="1">
        <v>39</v>
      </c>
      <c r="B40" s="1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4" t="s">
        <v>82</v>
      </c>
      <c r="E40" s="1" t="s">
        <v>82</v>
      </c>
      <c r="F40" s="13" t="b">
        <f t="shared" si="0"/>
        <v>1</v>
      </c>
    </row>
    <row r="41" spans="1:6" x14ac:dyDescent="0.3">
      <c r="A41" s="1">
        <v>40</v>
      </c>
      <c r="B41" s="1" t="s">
        <v>43</v>
      </c>
      <c r="C41" s="12" t="str" cm="1">
        <f t="array" ref="C41">_xlfn.IFS(LEN(B41) &lt;= 25, "Short", AND(LEN(B41) &gt; 25, LEN(B41) &lt;= 50), "Medium", LEN(B41) &gt; 50, "Long")</f>
        <v>Short</v>
      </c>
      <c r="D41" s="14" t="s">
        <v>82</v>
      </c>
      <c r="E41" s="1" t="s">
        <v>82</v>
      </c>
      <c r="F41" s="13" t="b">
        <f t="shared" si="0"/>
        <v>1</v>
      </c>
    </row>
    <row r="42" spans="1:6" x14ac:dyDescent="0.3">
      <c r="A42" s="1">
        <v>41</v>
      </c>
      <c r="B42" s="1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4" t="s">
        <v>81</v>
      </c>
      <c r="E42" s="1" t="s">
        <v>81</v>
      </c>
      <c r="F42" s="13" t="b">
        <f t="shared" si="0"/>
        <v>1</v>
      </c>
    </row>
    <row r="43" spans="1:6" x14ac:dyDescent="0.3">
      <c r="A43" s="1">
        <v>42</v>
      </c>
      <c r="B43" s="1" t="s">
        <v>45</v>
      </c>
      <c r="C43" s="12" t="str" cm="1">
        <f t="array" ref="C43">_xlfn.IFS(LEN(B43) &lt;= 25, "Short", AND(LEN(B43) &gt; 25, LEN(B43) &lt;= 50), "Medium", LEN(B43) &gt; 50, "Long")</f>
        <v>Short</v>
      </c>
      <c r="D43" s="14" t="s">
        <v>81</v>
      </c>
      <c r="E43" s="1" t="s">
        <v>81</v>
      </c>
      <c r="F43" s="13" t="b">
        <f t="shared" si="0"/>
        <v>1</v>
      </c>
    </row>
    <row r="44" spans="1:6" x14ac:dyDescent="0.3">
      <c r="A44" s="1">
        <v>43</v>
      </c>
      <c r="B44" s="1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4" t="s">
        <v>80</v>
      </c>
      <c r="E44" s="1" t="s">
        <v>80</v>
      </c>
      <c r="F44" s="13" t="b">
        <f t="shared" si="0"/>
        <v>1</v>
      </c>
    </row>
    <row r="45" spans="1:6" x14ac:dyDescent="0.3">
      <c r="A45" s="1">
        <v>44</v>
      </c>
      <c r="B45" s="1" t="s">
        <v>47</v>
      </c>
      <c r="C45" s="12" t="str" cm="1">
        <f t="array" ref="C45">_xlfn.IFS(LEN(B45) &lt;= 25, "Short", AND(LEN(B45) &gt; 25, LEN(B45) &lt;= 50), "Medium", LEN(B45) &gt; 50, "Long")</f>
        <v>Short</v>
      </c>
      <c r="D45" s="14" t="s">
        <v>81</v>
      </c>
      <c r="E45" s="1" t="s">
        <v>251</v>
      </c>
      <c r="F45" s="13" t="b">
        <f t="shared" si="0"/>
        <v>0</v>
      </c>
    </row>
    <row r="46" spans="1:6" x14ac:dyDescent="0.3">
      <c r="A46" s="1">
        <v>45</v>
      </c>
      <c r="B46" s="1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4" t="s">
        <v>81</v>
      </c>
      <c r="E46" s="1" t="s">
        <v>81</v>
      </c>
      <c r="F46" s="13" t="b">
        <f t="shared" si="0"/>
        <v>1</v>
      </c>
    </row>
    <row r="47" spans="1:6" x14ac:dyDescent="0.3">
      <c r="A47" s="1">
        <v>46</v>
      </c>
      <c r="B47" s="1" t="s">
        <v>49</v>
      </c>
      <c r="C47" s="12" t="str" cm="1">
        <f t="array" ref="C47">_xlfn.IFS(LEN(B47) &lt;= 25, "Short", AND(LEN(B47) &gt; 25, LEN(B47) &lt;= 50), "Medium", LEN(B47) &gt; 50, "Long")</f>
        <v>Medium</v>
      </c>
      <c r="D47" s="14" t="s">
        <v>81</v>
      </c>
      <c r="E47" s="1" t="s">
        <v>82</v>
      </c>
      <c r="F47" s="13" t="b">
        <f t="shared" si="0"/>
        <v>0</v>
      </c>
    </row>
    <row r="48" spans="1:6" x14ac:dyDescent="0.3">
      <c r="A48" s="1">
        <v>47</v>
      </c>
      <c r="B48" s="1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4" t="s">
        <v>79</v>
      </c>
      <c r="E48" s="1" t="s">
        <v>79</v>
      </c>
      <c r="F48" s="13" t="b">
        <f t="shared" si="0"/>
        <v>1</v>
      </c>
    </row>
    <row r="49" spans="1:6" x14ac:dyDescent="0.3">
      <c r="A49" s="1">
        <v>48</v>
      </c>
      <c r="B49" s="1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4" t="s">
        <v>81</v>
      </c>
      <c r="E49" s="1" t="s">
        <v>81</v>
      </c>
      <c r="F49" s="13" t="b">
        <f t="shared" si="0"/>
        <v>1</v>
      </c>
    </row>
    <row r="50" spans="1:6" x14ac:dyDescent="0.3">
      <c r="A50" s="1">
        <v>49</v>
      </c>
      <c r="B50" s="1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4" t="s">
        <v>81</v>
      </c>
      <c r="E50" s="1" t="s">
        <v>81</v>
      </c>
      <c r="F50" s="13" t="b">
        <f t="shared" si="0"/>
        <v>1</v>
      </c>
    </row>
    <row r="51" spans="1:6" x14ac:dyDescent="0.3">
      <c r="A51" s="1">
        <v>50</v>
      </c>
      <c r="B51" s="1" t="s">
        <v>53</v>
      </c>
      <c r="C51" s="12" t="str" cm="1">
        <f t="array" ref="C51">_xlfn.IFS(LEN(B51) &lt;= 25, "Short", AND(LEN(B51) &gt; 25, LEN(B51) &lt;= 50), "Medium", LEN(B51) &gt; 50, "Long")</f>
        <v>Long</v>
      </c>
      <c r="D51" s="14" t="s">
        <v>77</v>
      </c>
      <c r="E51" s="1" t="s">
        <v>77</v>
      </c>
      <c r="F51" s="13" t="b">
        <f t="shared" si="0"/>
        <v>1</v>
      </c>
    </row>
    <row r="52" spans="1:6" x14ac:dyDescent="0.3">
      <c r="A52" s="1">
        <v>51</v>
      </c>
      <c r="B52" s="1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4" t="s">
        <v>76</v>
      </c>
      <c r="E52" s="1" t="s">
        <v>76</v>
      </c>
      <c r="F52" s="13" t="b">
        <f t="shared" si="0"/>
        <v>1</v>
      </c>
    </row>
    <row r="53" spans="1:6" x14ac:dyDescent="0.3">
      <c r="A53" s="1">
        <v>52</v>
      </c>
      <c r="B53" s="1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4" t="s">
        <v>82</v>
      </c>
      <c r="E53" s="1" t="s">
        <v>82</v>
      </c>
      <c r="F53" s="13" t="b">
        <f t="shared" si="0"/>
        <v>1</v>
      </c>
    </row>
    <row r="54" spans="1:6" x14ac:dyDescent="0.3">
      <c r="A54" s="1">
        <v>53</v>
      </c>
      <c r="B54" s="1" t="s">
        <v>56</v>
      </c>
      <c r="C54" s="12" t="str" cm="1">
        <f t="array" ref="C54">_xlfn.IFS(LEN(B54) &lt;= 25, "Short", AND(LEN(B54) &gt; 25, LEN(B54) &lt;= 50), "Medium", LEN(B54) &gt; 50, "Long")</f>
        <v>Short</v>
      </c>
      <c r="D54" s="14" t="s">
        <v>77</v>
      </c>
      <c r="E54" s="1" t="s">
        <v>77</v>
      </c>
      <c r="F54" s="13" t="b">
        <f t="shared" si="0"/>
        <v>1</v>
      </c>
    </row>
    <row r="55" spans="1:6" x14ac:dyDescent="0.3">
      <c r="A55" s="1">
        <v>54</v>
      </c>
      <c r="B55" s="1" t="s">
        <v>57</v>
      </c>
      <c r="C55" s="12" t="str" cm="1">
        <f t="array" ref="C55">_xlfn.IFS(LEN(B55) &lt;= 25, "Short", AND(LEN(B55) &gt; 25, LEN(B55) &lt;= 50), "Medium", LEN(B55) &gt; 50, "Long")</f>
        <v>Long</v>
      </c>
      <c r="D55" s="14" t="s">
        <v>79</v>
      </c>
      <c r="E55" s="1" t="s">
        <v>79</v>
      </c>
      <c r="F55" s="13" t="b">
        <f t="shared" si="0"/>
        <v>1</v>
      </c>
    </row>
    <row r="56" spans="1:6" x14ac:dyDescent="0.3">
      <c r="A56" s="1">
        <v>55</v>
      </c>
      <c r="B56" s="1" t="s">
        <v>58</v>
      </c>
      <c r="C56" s="12" t="str" cm="1">
        <f t="array" ref="C56">_xlfn.IFS(LEN(B56) &lt;= 25, "Short", AND(LEN(B56) &gt; 25, LEN(B56) &lt;= 50), "Medium", LEN(B56) &gt; 50, "Long")</f>
        <v>Short</v>
      </c>
      <c r="D56" s="14" t="s">
        <v>251</v>
      </c>
      <c r="E56" s="1" t="s">
        <v>251</v>
      </c>
      <c r="F56" s="13" t="b">
        <f t="shared" si="0"/>
        <v>1</v>
      </c>
    </row>
    <row r="57" spans="1:6" x14ac:dyDescent="0.3">
      <c r="A57" s="1">
        <v>56</v>
      </c>
      <c r="B57" s="1" t="s">
        <v>59</v>
      </c>
      <c r="C57" s="12" t="str" cm="1">
        <f t="array" ref="C57">_xlfn.IFS(LEN(B57) &lt;= 25, "Short", AND(LEN(B57) &gt; 25, LEN(B57) &lt;= 50), "Medium", LEN(B57) &gt; 50, "Long")</f>
        <v>Medium</v>
      </c>
      <c r="D57" s="14" t="s">
        <v>76</v>
      </c>
      <c r="E57" s="1" t="s">
        <v>77</v>
      </c>
      <c r="F57" s="13" t="b">
        <f t="shared" si="0"/>
        <v>0</v>
      </c>
    </row>
    <row r="58" spans="1:6" x14ac:dyDescent="0.3">
      <c r="A58" s="1">
        <v>57</v>
      </c>
      <c r="B58" s="1" t="s">
        <v>60</v>
      </c>
      <c r="C58" s="12" t="str" cm="1">
        <f t="array" ref="C58">_xlfn.IFS(LEN(B58) &lt;= 25, "Short", AND(LEN(B58) &gt; 25, LEN(B58) &lt;= 50), "Medium", LEN(B58) &gt; 50, "Long")</f>
        <v>Medium</v>
      </c>
      <c r="D58" s="14" t="s">
        <v>76</v>
      </c>
      <c r="E58" s="1" t="s">
        <v>82</v>
      </c>
      <c r="F58" s="13" t="b">
        <f t="shared" si="0"/>
        <v>0</v>
      </c>
    </row>
    <row r="59" spans="1:6" x14ac:dyDescent="0.3">
      <c r="A59" s="1">
        <v>58</v>
      </c>
      <c r="B59" s="1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4" t="s">
        <v>81</v>
      </c>
      <c r="E59" s="1" t="s">
        <v>81</v>
      </c>
      <c r="F59" s="13" t="b">
        <f t="shared" si="0"/>
        <v>1</v>
      </c>
    </row>
    <row r="60" spans="1:6" x14ac:dyDescent="0.3">
      <c r="A60" s="1">
        <v>59</v>
      </c>
      <c r="B60" s="1" t="s">
        <v>62</v>
      </c>
      <c r="C60" s="12" t="str" cm="1">
        <f t="array" ref="C60">_xlfn.IFS(LEN(B60) &lt;= 25, "Short", AND(LEN(B60) &gt; 25, LEN(B60) &lt;= 50), "Medium", LEN(B60) &gt; 50, "Long")</f>
        <v>Short</v>
      </c>
      <c r="D60" s="14" t="s">
        <v>81</v>
      </c>
      <c r="E60" s="1" t="s">
        <v>79</v>
      </c>
      <c r="F60" s="13" t="b">
        <f t="shared" si="0"/>
        <v>0</v>
      </c>
    </row>
    <row r="61" spans="1:6" x14ac:dyDescent="0.3">
      <c r="A61" s="1">
        <v>60</v>
      </c>
      <c r="B61" s="1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4" t="s">
        <v>251</v>
      </c>
      <c r="E61" s="1" t="s">
        <v>251</v>
      </c>
      <c r="F61" s="13" t="b">
        <f t="shared" si="0"/>
        <v>1</v>
      </c>
    </row>
    <row r="62" spans="1:6" x14ac:dyDescent="0.3">
      <c r="A62" s="1">
        <v>61</v>
      </c>
      <c r="B62" s="1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4" t="s">
        <v>251</v>
      </c>
      <c r="E62" s="1" t="s">
        <v>251</v>
      </c>
      <c r="F62" s="13" t="b">
        <f t="shared" si="0"/>
        <v>1</v>
      </c>
    </row>
    <row r="63" spans="1:6" x14ac:dyDescent="0.3">
      <c r="A63" s="1">
        <v>62</v>
      </c>
      <c r="B63" s="1" t="s">
        <v>65</v>
      </c>
      <c r="C63" s="12" t="str" cm="1">
        <f t="array" ref="C63">_xlfn.IFS(LEN(B63) &lt;= 25, "Short", AND(LEN(B63) &gt; 25, LEN(B63) &lt;= 50), "Medium", LEN(B63) &gt; 50, "Long")</f>
        <v>Short</v>
      </c>
      <c r="D63" s="14" t="s">
        <v>251</v>
      </c>
      <c r="E63" s="1" t="s">
        <v>81</v>
      </c>
      <c r="F63" s="13" t="b">
        <f t="shared" si="0"/>
        <v>0</v>
      </c>
    </row>
    <row r="64" spans="1:6" x14ac:dyDescent="0.3">
      <c r="A64" s="1">
        <v>63</v>
      </c>
      <c r="B64" s="1" t="s">
        <v>66</v>
      </c>
      <c r="C64" s="12" t="str" cm="1">
        <f t="array" ref="C64">_xlfn.IFS(LEN(B64) &lt;= 25, "Short", AND(LEN(B64) &gt; 25, LEN(B64) &lt;= 50), "Medium", LEN(B64) &gt; 50, "Long")</f>
        <v>Medium</v>
      </c>
      <c r="D64" s="14" t="s">
        <v>79</v>
      </c>
      <c r="E64" s="1" t="s">
        <v>251</v>
      </c>
      <c r="F64" s="13" t="b">
        <f t="shared" si="0"/>
        <v>0</v>
      </c>
    </row>
    <row r="65" spans="1:6" x14ac:dyDescent="0.3">
      <c r="A65" s="1">
        <v>64</v>
      </c>
      <c r="B65" s="1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4" t="s">
        <v>76</v>
      </c>
      <c r="E65" s="1" t="s">
        <v>76</v>
      </c>
      <c r="F65" s="13" t="b">
        <f t="shared" si="0"/>
        <v>1</v>
      </c>
    </row>
    <row r="66" spans="1:6" x14ac:dyDescent="0.3">
      <c r="A66" s="1">
        <v>65</v>
      </c>
      <c r="B66" s="1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4" t="s">
        <v>79</v>
      </c>
      <c r="E66" s="1" t="s">
        <v>79</v>
      </c>
      <c r="F66" s="13" t="b">
        <f t="shared" si="0"/>
        <v>1</v>
      </c>
    </row>
    <row r="67" spans="1:6" x14ac:dyDescent="0.3">
      <c r="A67" s="1">
        <v>66</v>
      </c>
      <c r="B67" s="1" t="s">
        <v>69</v>
      </c>
      <c r="C67" s="12" t="str" cm="1">
        <f t="array" ref="C67">_xlfn.IFS(LEN(B67) &lt;= 25, "Short", AND(LEN(B67) &gt; 25, LEN(B67) &lt;= 50), "Medium", LEN(B67) &gt; 50, "Long")</f>
        <v>Medium</v>
      </c>
      <c r="D67" s="14" t="s">
        <v>77</v>
      </c>
      <c r="E67" s="1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" t="s">
        <v>70</v>
      </c>
      <c r="C68" s="12" t="str" cm="1">
        <f t="array" ref="C68">_xlfn.IFS(LEN(B68) &lt;= 25, "Short", AND(LEN(B68) &gt; 25, LEN(B68) &lt;= 50), "Medium", LEN(B68) &gt; 50, "Long")</f>
        <v>Long</v>
      </c>
      <c r="D68" s="14" t="s">
        <v>77</v>
      </c>
      <c r="E68" s="1" t="s">
        <v>77</v>
      </c>
      <c r="F68" s="13" t="b">
        <f t="shared" si="7"/>
        <v>1</v>
      </c>
    </row>
    <row r="69" spans="1:6" x14ac:dyDescent="0.3">
      <c r="A69" s="1">
        <v>68</v>
      </c>
      <c r="B69" s="1" t="s">
        <v>71</v>
      </c>
      <c r="C69" s="12" t="str" cm="1">
        <f t="array" ref="C69">_xlfn.IFS(LEN(B69) &lt;= 25, "Short", AND(LEN(B69) &gt; 25, LEN(B69) &lt;= 50), "Medium", LEN(B69) &gt; 50, "Long")</f>
        <v>Medium</v>
      </c>
      <c r="D69" s="14" t="s">
        <v>79</v>
      </c>
      <c r="E69" s="1" t="s">
        <v>77</v>
      </c>
      <c r="F69" s="13" t="b">
        <f t="shared" si="7"/>
        <v>0</v>
      </c>
    </row>
    <row r="70" spans="1:6" x14ac:dyDescent="0.3">
      <c r="A70" s="1">
        <v>69</v>
      </c>
      <c r="B70" s="1" t="s">
        <v>72</v>
      </c>
      <c r="C70" s="12" t="str" cm="1">
        <f t="array" ref="C70">_xlfn.IFS(LEN(B70) &lt;= 25, "Short", AND(LEN(B70) &gt; 25, LEN(B70) &lt;= 50), "Medium", LEN(B70) &gt; 50, "Long")</f>
        <v>Medium</v>
      </c>
      <c r="D70" s="14" t="s">
        <v>80</v>
      </c>
      <c r="E70" s="1" t="s">
        <v>80</v>
      </c>
      <c r="F70" s="13" t="b">
        <f t="shared" si="7"/>
        <v>1</v>
      </c>
    </row>
    <row r="71" spans="1:6" x14ac:dyDescent="0.3">
      <c r="A71" s="1">
        <v>70</v>
      </c>
      <c r="B71" s="1" t="s">
        <v>73</v>
      </c>
      <c r="C71" s="12" t="str" cm="1">
        <f t="array" ref="C71">_xlfn.IFS(LEN(B71) &lt;= 25, "Short", AND(LEN(B71) &gt; 25, LEN(B71) &lt;= 50), "Medium", LEN(B71) &gt; 50, "Long")</f>
        <v>Short</v>
      </c>
      <c r="D71" s="14" t="s">
        <v>76</v>
      </c>
      <c r="E71" s="1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C1" zoomScale="85" zoomScaleNormal="85" workbookViewId="0">
      <selection activeCell="D1" sqref="D1:D1048576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" t="s">
        <v>87</v>
      </c>
      <c r="C2" s="13" t="str" cm="1">
        <f t="array" ref="C2">_xlfn.IFS(LEN(B2) &lt;= 25, "Short", AND(LEN(B2) &gt; 25, LEN(B2) &lt;= 50), "Medium", LEN(B2) &gt; 50, "Long")</f>
        <v>Medium</v>
      </c>
      <c r="D2" s="14" t="s">
        <v>79</v>
      </c>
      <c r="E2" s="1" t="s">
        <v>79</v>
      </c>
      <c r="F2" s="1" t="b">
        <f>IF(D2=E2, TRUE, FALSE)</f>
        <v>1</v>
      </c>
      <c r="H2" s="1">
        <v>140</v>
      </c>
      <c r="I2" s="1">
        <f>COUNTIF(F2:F141, TRUE)</f>
        <v>90</v>
      </c>
      <c r="J2" s="4">
        <f>I2/H2</f>
        <v>0.6428571428571429</v>
      </c>
    </row>
    <row r="3" spans="1:11" x14ac:dyDescent="0.3">
      <c r="A3" s="1">
        <v>72</v>
      </c>
      <c r="B3" s="1" t="s">
        <v>88</v>
      </c>
      <c r="C3" s="13" t="str" cm="1">
        <f t="array" ref="C3">_xlfn.IFS(LEN(B3) &lt;= 25, "Short", AND(LEN(B3) &gt; 25, LEN(B3) &lt;= 50), "Medium", LEN(B3) &gt; 50, "Long")</f>
        <v>Short</v>
      </c>
      <c r="D3" s="14" t="s">
        <v>77</v>
      </c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" t="s">
        <v>34</v>
      </c>
      <c r="C4" s="13" t="str" cm="1">
        <f t="array" ref="C4">_xlfn.IFS(LEN(B4) &lt;= 25, "Short", AND(LEN(B4) &gt; 25, LEN(B4) &lt;= 50), "Medium", LEN(B4) &gt; 50, "Long")</f>
        <v>Long</v>
      </c>
      <c r="D4" s="14" t="s">
        <v>77</v>
      </c>
      <c r="E4" s="1" t="s">
        <v>77</v>
      </c>
      <c r="F4" s="13" t="b">
        <f t="shared" si="0"/>
        <v>1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" t="s">
        <v>89</v>
      </c>
      <c r="C5" s="13" t="str" cm="1">
        <f t="array" ref="C5">_xlfn.IFS(LEN(B5) &lt;= 25, "Short", AND(LEN(B5) &gt; 25, LEN(B5) &lt;= 50), "Medium", LEN(B5) &gt; 50, "Long")</f>
        <v>Long</v>
      </c>
      <c r="D5" s="14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" t="s">
        <v>90</v>
      </c>
      <c r="C6" s="13" t="str" cm="1">
        <f t="array" ref="C6">_xlfn.IFS(LEN(B6) &lt;= 25, "Short", AND(LEN(B6) &gt; 25, LEN(B6) &lt;= 50), "Medium", LEN(B6) &gt; 50, "Long")</f>
        <v>Medium</v>
      </c>
      <c r="D6" s="14" t="s">
        <v>77</v>
      </c>
      <c r="E6" s="1" t="s">
        <v>77</v>
      </c>
      <c r="F6" s="13" t="b">
        <f t="shared" si="0"/>
        <v>1</v>
      </c>
      <c r="H6" s="1" t="s">
        <v>251</v>
      </c>
      <c r="I6" s="1">
        <f>COUNTIF($E$2:$E$141,H6)</f>
        <v>20</v>
      </c>
      <c r="J6" s="1">
        <f>COUNTIFS($E$2:$E$141, H6, $D$2:$D$141, H6)</f>
        <v>11</v>
      </c>
      <c r="K6" s="3">
        <f>J6/I6</f>
        <v>0.55000000000000004</v>
      </c>
    </row>
    <row r="7" spans="1:11" x14ac:dyDescent="0.3">
      <c r="A7" s="1">
        <v>76</v>
      </c>
      <c r="B7" s="1" t="s">
        <v>91</v>
      </c>
      <c r="C7" s="13" t="str" cm="1">
        <f t="array" ref="C7">_xlfn.IFS(LEN(B7) &lt;= 25, "Short", AND(LEN(B7) &gt; 25, LEN(B7) &lt;= 50), "Medium", LEN(B7) &gt; 50, "Long")</f>
        <v>Long</v>
      </c>
      <c r="D7" s="14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16</v>
      </c>
      <c r="K7" s="3">
        <f t="shared" ref="K7:K12" si="3">J7/I7</f>
        <v>0.8</v>
      </c>
    </row>
    <row r="8" spans="1:11" x14ac:dyDescent="0.3">
      <c r="A8" s="1">
        <v>77</v>
      </c>
      <c r="B8" s="1" t="s">
        <v>92</v>
      </c>
      <c r="C8" s="13" t="str" cm="1">
        <f t="array" ref="C8">_xlfn.IFS(LEN(B8) &lt;= 25, "Short", AND(LEN(B8) &gt; 25, LEN(B8) &lt;= 50), "Medium", LEN(B8) &gt; 50, "Long")</f>
        <v>Medium</v>
      </c>
      <c r="D8" s="14" t="s">
        <v>80</v>
      </c>
      <c r="E8" s="1" t="s">
        <v>80</v>
      </c>
      <c r="F8" s="13" t="b">
        <f t="shared" si="0"/>
        <v>1</v>
      </c>
      <c r="H8" s="1" t="s">
        <v>79</v>
      </c>
      <c r="I8" s="1">
        <f t="shared" si="1"/>
        <v>20</v>
      </c>
      <c r="J8" s="1">
        <f t="shared" si="2"/>
        <v>15</v>
      </c>
      <c r="K8" s="3">
        <f t="shared" si="3"/>
        <v>0.75</v>
      </c>
    </row>
    <row r="9" spans="1:11" x14ac:dyDescent="0.3">
      <c r="A9" s="1">
        <v>78</v>
      </c>
      <c r="B9" s="1" t="s">
        <v>38</v>
      </c>
      <c r="C9" s="13" t="str" cm="1">
        <f t="array" ref="C9">_xlfn.IFS(LEN(B9) &lt;= 25, "Short", AND(LEN(B9) &gt; 25, LEN(B9) &lt;= 50), "Medium", LEN(B9) &gt; 50, "Long")</f>
        <v>Short</v>
      </c>
      <c r="D9" s="14" t="s">
        <v>76</v>
      </c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14</v>
      </c>
      <c r="K9" s="3">
        <f t="shared" si="3"/>
        <v>0.7</v>
      </c>
    </row>
    <row r="10" spans="1:11" x14ac:dyDescent="0.3">
      <c r="A10" s="1">
        <v>79</v>
      </c>
      <c r="B10" s="1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4" t="s">
        <v>251</v>
      </c>
      <c r="E10" s="1" t="s">
        <v>251</v>
      </c>
      <c r="F10" s="13" t="b">
        <f t="shared" si="0"/>
        <v>1</v>
      </c>
      <c r="H10" s="1" t="s">
        <v>82</v>
      </c>
      <c r="I10" s="1">
        <f t="shared" si="1"/>
        <v>20</v>
      </c>
      <c r="J10" s="1">
        <f t="shared" si="2"/>
        <v>4</v>
      </c>
      <c r="K10" s="3">
        <f t="shared" si="3"/>
        <v>0.2</v>
      </c>
    </row>
    <row r="11" spans="1:11" x14ac:dyDescent="0.3">
      <c r="A11" s="1">
        <v>80</v>
      </c>
      <c r="B11" s="1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4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10</v>
      </c>
      <c r="K11" s="3">
        <f t="shared" si="3"/>
        <v>0.5</v>
      </c>
    </row>
    <row r="12" spans="1:11" x14ac:dyDescent="0.3">
      <c r="A12" s="1">
        <v>81</v>
      </c>
      <c r="B12" s="1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4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1" t="s">
        <v>72</v>
      </c>
      <c r="C13" s="13" t="str" cm="1">
        <f t="array" ref="C13">_xlfn.IFS(LEN(B13) &lt;= 25, "Short", AND(LEN(B13) &gt; 25, LEN(B13) &lt;= 50), "Medium", LEN(B13) &gt; 50, "Long")</f>
        <v>Medium</v>
      </c>
      <c r="D13" s="14" t="s">
        <v>80</v>
      </c>
      <c r="E13" s="1" t="s">
        <v>80</v>
      </c>
      <c r="F13" s="13" t="b">
        <f t="shared" si="0"/>
        <v>1</v>
      </c>
    </row>
    <row r="14" spans="1:11" x14ac:dyDescent="0.3">
      <c r="A14" s="1">
        <v>83</v>
      </c>
      <c r="B14" s="1" t="s">
        <v>93</v>
      </c>
      <c r="C14" s="13" t="str" cm="1">
        <f t="array" ref="C14">_xlfn.IFS(LEN(B14) &lt;= 25, "Short", AND(LEN(B14) &gt; 25, LEN(B14) &lt;= 50), "Medium", LEN(B14) &gt; 50, "Long")</f>
        <v>Short</v>
      </c>
      <c r="D14" s="14" t="s">
        <v>79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4" t="s">
        <v>76</v>
      </c>
      <c r="E15" s="1" t="s">
        <v>76</v>
      </c>
      <c r="F15" s="13" t="b">
        <f t="shared" si="0"/>
        <v>1</v>
      </c>
      <c r="H15" s="6" t="s">
        <v>257</v>
      </c>
      <c r="I15" s="6">
        <f>COUNTIF(C2:C141, "Short")</f>
        <v>67</v>
      </c>
      <c r="J15" s="6">
        <f>COUNTIFS(C2:C141, "Short", F2:F141, TRUE)</f>
        <v>35</v>
      </c>
      <c r="K15" s="4">
        <f>J15/I15</f>
        <v>0.52238805970149249</v>
      </c>
    </row>
    <row r="16" spans="1:11" x14ac:dyDescent="0.3">
      <c r="A16" s="1">
        <v>85</v>
      </c>
      <c r="B16" s="1" t="s">
        <v>95</v>
      </c>
      <c r="C16" s="13" t="str" cm="1">
        <f t="array" ref="C16">_xlfn.IFS(LEN(B16) &lt;= 25, "Short", AND(LEN(B16) &gt; 25, LEN(B16) &lt;= 50), "Medium", LEN(B16) &gt; 50, "Long")</f>
        <v>Short</v>
      </c>
      <c r="D16" s="14" t="s">
        <v>77</v>
      </c>
      <c r="E16" s="1" t="s">
        <v>80</v>
      </c>
      <c r="F16" s="13" t="b">
        <f t="shared" si="0"/>
        <v>0</v>
      </c>
      <c r="H16" s="6" t="s">
        <v>256</v>
      </c>
      <c r="I16" s="6">
        <f>COUNTIFS(C2:C141, "Medium")</f>
        <v>59</v>
      </c>
      <c r="J16" s="6">
        <f>COUNTIFS(C2:C141, "Medium", F2:F141, TRUE)</f>
        <v>44</v>
      </c>
      <c r="K16" s="4">
        <f t="shared" ref="K16:K17" si="4">J16/I16</f>
        <v>0.74576271186440679</v>
      </c>
    </row>
    <row r="17" spans="1:11" x14ac:dyDescent="0.3">
      <c r="A17" s="1">
        <v>86</v>
      </c>
      <c r="B17" s="1" t="s">
        <v>96</v>
      </c>
      <c r="C17" s="13" t="str" cm="1">
        <f t="array" ref="C17">_xlfn.IFS(LEN(B17) &lt;= 25, "Short", AND(LEN(B17) &gt; 25, LEN(B17) &lt;= 50), "Medium", LEN(B17) &gt; 50, "Long")</f>
        <v>Medium</v>
      </c>
      <c r="D17" s="14" t="s">
        <v>251</v>
      </c>
      <c r="E17" s="1" t="s">
        <v>251</v>
      </c>
      <c r="F17" s="13" t="b">
        <f t="shared" si="0"/>
        <v>1</v>
      </c>
      <c r="H17" s="6" t="s">
        <v>255</v>
      </c>
      <c r="I17" s="6">
        <f>COUNTIF(C2:C141, "Long")</f>
        <v>14</v>
      </c>
      <c r="J17" s="6">
        <f>COUNTIFS(C2:C141, "Long", F2:F141, TRUE)</f>
        <v>11</v>
      </c>
      <c r="K17" s="4">
        <f t="shared" si="4"/>
        <v>0.7857142857142857</v>
      </c>
    </row>
    <row r="18" spans="1:11" x14ac:dyDescent="0.3">
      <c r="A18" s="1">
        <v>87</v>
      </c>
      <c r="B18" s="1" t="s">
        <v>41</v>
      </c>
      <c r="C18" s="13" t="str" cm="1">
        <f t="array" ref="C18">_xlfn.IFS(LEN(B18) &lt;= 25, "Short", AND(LEN(B18) &gt; 25, LEN(B18) &lt;= 50), "Medium", LEN(B18) &gt; 50, "Long")</f>
        <v>Medium</v>
      </c>
      <c r="D18" s="14" t="s">
        <v>79</v>
      </c>
      <c r="E18" s="1" t="s">
        <v>79</v>
      </c>
      <c r="F18" s="13" t="b">
        <f t="shared" si="0"/>
        <v>1</v>
      </c>
    </row>
    <row r="19" spans="1:11" x14ac:dyDescent="0.3">
      <c r="A19" s="1">
        <v>88</v>
      </c>
      <c r="B19" s="1" t="s">
        <v>10</v>
      </c>
      <c r="C19" s="13" t="str" cm="1">
        <f t="array" ref="C19">_xlfn.IFS(LEN(B19) &lt;= 25, "Short", AND(LEN(B19) &gt; 25, LEN(B19) &lt;= 50), "Medium", LEN(B19) &gt; 50, "Long")</f>
        <v>Short</v>
      </c>
      <c r="D19" s="14" t="s">
        <v>77</v>
      </c>
      <c r="E19" s="1" t="s">
        <v>77</v>
      </c>
      <c r="F19" s="13" t="b">
        <f t="shared" si="0"/>
        <v>1</v>
      </c>
      <c r="H19" s="19" t="s">
        <v>247</v>
      </c>
      <c r="I19" s="19"/>
    </row>
    <row r="20" spans="1:11" x14ac:dyDescent="0.3">
      <c r="A20" s="1">
        <v>89</v>
      </c>
      <c r="B20" s="1" t="s">
        <v>57</v>
      </c>
      <c r="C20" s="13" t="str" cm="1">
        <f t="array" ref="C20">_xlfn.IFS(LEN(B20) &lt;= 25, "Short", AND(LEN(B20) &gt; 25, LEN(B20) &lt;= 50), "Medium", LEN(B20) &gt; 50, "Long")</f>
        <v>Long</v>
      </c>
      <c r="D20" s="14" t="s">
        <v>79</v>
      </c>
      <c r="E20" s="1" t="s">
        <v>79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" t="s">
        <v>27</v>
      </c>
      <c r="C21" s="13" t="str" cm="1">
        <f t="array" ref="C21">_xlfn.IFS(LEN(B21) &lt;= 25, "Short", AND(LEN(B21) &gt; 25, LEN(B21) &lt;= 50), "Medium", LEN(B21) &gt; 50, "Long")</f>
        <v>Short</v>
      </c>
      <c r="D21" s="14" t="s">
        <v>76</v>
      </c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0.1</v>
      </c>
    </row>
    <row r="22" spans="1:11" x14ac:dyDescent="0.3">
      <c r="A22" s="1">
        <v>91</v>
      </c>
      <c r="B22" s="1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4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" t="s">
        <v>98</v>
      </c>
      <c r="C23" s="13" t="str" cm="1">
        <f t="array" ref="C23">_xlfn.IFS(LEN(B23) &lt;= 25, "Short", AND(LEN(B23) &gt; 25, LEN(B23) &lt;= 50), "Medium", LEN(B23) &gt; 50, "Long")</f>
        <v>Short</v>
      </c>
      <c r="D23" s="14" t="s">
        <v>76</v>
      </c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" t="s">
        <v>99</v>
      </c>
      <c r="C24" s="13" t="str" cm="1">
        <f t="array" ref="C24">_xlfn.IFS(LEN(B24) &lt;= 25, "Short", AND(LEN(B24) &gt; 25, LEN(B24) &lt;= 50), "Medium", LEN(B24) &gt; 50, "Long")</f>
        <v>Long</v>
      </c>
      <c r="D24" s="14" t="s">
        <v>77</v>
      </c>
      <c r="E24" s="1" t="s">
        <v>77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4" t="s">
        <v>79</v>
      </c>
      <c r="E25" s="1" t="s">
        <v>79</v>
      </c>
      <c r="F25" s="13" t="b">
        <f t="shared" si="0"/>
        <v>1</v>
      </c>
      <c r="H25" s="9" t="s">
        <v>251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" t="s">
        <v>60</v>
      </c>
      <c r="C26" s="13" t="str" cm="1">
        <f t="array" ref="C26">_xlfn.IFS(LEN(B26) &lt;= 25, "Short", AND(LEN(B26) &gt; 25, LEN(B26) &lt;= 50), "Medium", LEN(B26) &gt; 50, "Long")</f>
        <v>Medium</v>
      </c>
      <c r="D26" s="14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251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" t="s">
        <v>101</v>
      </c>
      <c r="C27" s="13" t="str" cm="1">
        <f t="array" ref="C27">_xlfn.IFS(LEN(B27) &lt;= 25, "Short", AND(LEN(B27) &gt; 25, LEN(B27) &lt;= 50), "Medium", LEN(B27) &gt; 50, "Long")</f>
        <v>Medium</v>
      </c>
      <c r="D27" s="14" t="s">
        <v>82</v>
      </c>
      <c r="E27" s="1" t="s">
        <v>82</v>
      </c>
      <c r="F27" s="13" t="b">
        <f t="shared" si="0"/>
        <v>1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" t="s">
        <v>19</v>
      </c>
      <c r="C28" s="13" t="str" cm="1">
        <f t="array" ref="C28">_xlfn.IFS(LEN(B28) &lt;= 25, "Short", AND(LEN(B28) &gt; 25, LEN(B28) &lt;= 50), "Medium", LEN(B28) &gt; 50, "Long")</f>
        <v>Short</v>
      </c>
      <c r="D28" s="14" t="s">
        <v>77</v>
      </c>
      <c r="E28" s="1" t="s">
        <v>77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4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" t="s">
        <v>45</v>
      </c>
      <c r="C30" s="13" t="str" cm="1">
        <f t="array" ref="C30">_xlfn.IFS(LEN(B30) &lt;= 25, "Short", AND(LEN(B30) &gt; 25, LEN(B30) &lt;= 50), "Medium", LEN(B30) &gt; 50, "Long")</f>
        <v>Short</v>
      </c>
      <c r="D30" s="14" t="s">
        <v>81</v>
      </c>
      <c r="E30" s="1" t="s">
        <v>81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" t="s">
        <v>102</v>
      </c>
      <c r="C31" s="13" t="str" cm="1">
        <f t="array" ref="C31">_xlfn.IFS(LEN(B31) &lt;= 25, "Short", AND(LEN(B31) &gt; 25, LEN(B31) &lt;= 50), "Medium", LEN(B31) &gt; 50, "Long")</f>
        <v>Short</v>
      </c>
      <c r="D31" s="14" t="s">
        <v>76</v>
      </c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4" t="s">
        <v>251</v>
      </c>
      <c r="E32" s="1" t="s">
        <v>251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2</v>
      </c>
      <c r="K32" s="10">
        <f>J32/I11</f>
        <v>0.1</v>
      </c>
    </row>
    <row r="33" spans="1:6" x14ac:dyDescent="0.3">
      <c r="A33" s="1">
        <v>102</v>
      </c>
      <c r="B33" s="1" t="s">
        <v>29</v>
      </c>
      <c r="C33" s="13" t="str" cm="1">
        <f t="array" ref="C33">_xlfn.IFS(LEN(B33) &lt;= 25, "Short", AND(LEN(B33) &gt; 25, LEN(B33) &lt;= 50), "Medium", LEN(B33) &gt; 50, "Long")</f>
        <v>Medium</v>
      </c>
      <c r="D33" s="14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103</v>
      </c>
      <c r="B34" s="1" t="s">
        <v>103</v>
      </c>
      <c r="C34" s="13" t="str" cm="1">
        <f t="array" ref="C34">_xlfn.IFS(LEN(B34) &lt;= 25, "Short", AND(LEN(B34) &gt; 25, LEN(B34) &lt;= 50), "Medium", LEN(B34) &gt; 50, "Long")</f>
        <v>Long</v>
      </c>
      <c r="D34" s="14" t="s">
        <v>76</v>
      </c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" t="s">
        <v>104</v>
      </c>
      <c r="C35" s="13" t="str" cm="1">
        <f t="array" ref="C35">_xlfn.IFS(LEN(B35) &lt;= 25, "Short", AND(LEN(B35) &gt; 25, LEN(B35) &lt;= 50), "Medium", LEN(B35) &gt; 50, "Long")</f>
        <v>Medium</v>
      </c>
      <c r="D35" s="14" t="s">
        <v>251</v>
      </c>
      <c r="E35" s="1" t="s">
        <v>251</v>
      </c>
      <c r="F35" s="13" t="b">
        <f t="shared" si="0"/>
        <v>1</v>
      </c>
    </row>
    <row r="36" spans="1:6" x14ac:dyDescent="0.3">
      <c r="A36" s="1">
        <v>105</v>
      </c>
      <c r="B36" s="1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4" t="s">
        <v>76</v>
      </c>
      <c r="E36" s="1" t="s">
        <v>76</v>
      </c>
      <c r="F36" s="13" t="b">
        <f t="shared" si="0"/>
        <v>1</v>
      </c>
    </row>
    <row r="37" spans="1:6" x14ac:dyDescent="0.3">
      <c r="A37" s="1">
        <v>106</v>
      </c>
      <c r="B37" s="1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4" t="s">
        <v>76</v>
      </c>
      <c r="E37" s="1" t="s">
        <v>76</v>
      </c>
      <c r="F37" s="13" t="b">
        <f t="shared" si="0"/>
        <v>1</v>
      </c>
    </row>
    <row r="38" spans="1:6" x14ac:dyDescent="0.3">
      <c r="A38" s="1">
        <v>107</v>
      </c>
      <c r="B38" s="1" t="s">
        <v>107</v>
      </c>
      <c r="C38" s="13" t="str" cm="1">
        <f t="array" ref="C38">_xlfn.IFS(LEN(B38) &lt;= 25, "Short", AND(LEN(B38) &gt; 25, LEN(B38) &lt;= 50), "Medium", LEN(B38) &gt; 50, "Long")</f>
        <v>Short</v>
      </c>
      <c r="D38" s="14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108</v>
      </c>
      <c r="B39" s="1" t="s">
        <v>23</v>
      </c>
      <c r="C39" s="13" t="str" cm="1">
        <f t="array" ref="C39">_xlfn.IFS(LEN(B39) &lt;= 25, "Short", AND(LEN(B39) &gt; 25, LEN(B39) &lt;= 50), "Medium", LEN(B39) &gt; 50, "Long")</f>
        <v>Medium</v>
      </c>
      <c r="D39" s="14" t="s">
        <v>81</v>
      </c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" t="s">
        <v>108</v>
      </c>
      <c r="C40" s="13" t="str" cm="1">
        <f t="array" ref="C40">_xlfn.IFS(LEN(B40) &lt;= 25, "Short", AND(LEN(B40) &gt; 25, LEN(B40) &lt;= 50), "Medium", LEN(B40) &gt; 50, "Long")</f>
        <v>Short</v>
      </c>
      <c r="D40" s="14" t="s">
        <v>76</v>
      </c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" t="s">
        <v>109</v>
      </c>
      <c r="C41" s="13" t="str" cm="1">
        <f t="array" ref="C41">_xlfn.IFS(LEN(B41) &lt;= 25, "Short", AND(LEN(B41) &gt; 25, LEN(B41) &lt;= 50), "Medium", LEN(B41) &gt; 50, "Long")</f>
        <v>Medium</v>
      </c>
      <c r="D41" s="14" t="s">
        <v>77</v>
      </c>
      <c r="E41" s="1" t="s">
        <v>77</v>
      </c>
      <c r="F41" s="13" t="b">
        <f t="shared" si="0"/>
        <v>1</v>
      </c>
    </row>
    <row r="42" spans="1:6" x14ac:dyDescent="0.3">
      <c r="A42" s="1">
        <v>111</v>
      </c>
      <c r="B42" s="1" t="s">
        <v>5</v>
      </c>
      <c r="C42" s="13" t="str" cm="1">
        <f t="array" ref="C42">_xlfn.IFS(LEN(B42) &lt;= 25, "Short", AND(LEN(B42) &gt; 25, LEN(B42) &lt;= 50), "Medium", LEN(B42) &gt; 50, "Long")</f>
        <v>Short</v>
      </c>
      <c r="D42" s="14" t="s">
        <v>77</v>
      </c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4" t="s">
        <v>76</v>
      </c>
      <c r="E43" s="1" t="s">
        <v>76</v>
      </c>
      <c r="F43" s="13" t="b">
        <f t="shared" si="0"/>
        <v>1</v>
      </c>
    </row>
    <row r="44" spans="1:6" x14ac:dyDescent="0.3">
      <c r="A44" s="1">
        <v>113</v>
      </c>
      <c r="B44" s="1" t="s">
        <v>58</v>
      </c>
      <c r="C44" s="13" t="str" cm="1">
        <f t="array" ref="C44">_xlfn.IFS(LEN(B44) &lt;= 25, "Short", AND(LEN(B44) &gt; 25, LEN(B44) &lt;= 50), "Medium", LEN(B44) &gt; 50, "Long")</f>
        <v>Short</v>
      </c>
      <c r="D44" s="14" t="s">
        <v>77</v>
      </c>
      <c r="E44" s="1" t="s">
        <v>251</v>
      </c>
      <c r="F44" s="13" t="b">
        <f t="shared" si="0"/>
        <v>0</v>
      </c>
    </row>
    <row r="45" spans="1:6" x14ac:dyDescent="0.3">
      <c r="A45" s="1">
        <v>114</v>
      </c>
      <c r="B45" s="1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4" t="s">
        <v>79</v>
      </c>
      <c r="E45" s="1" t="s">
        <v>79</v>
      </c>
      <c r="F45" s="13" t="b">
        <f t="shared" si="0"/>
        <v>1</v>
      </c>
    </row>
    <row r="46" spans="1:6" x14ac:dyDescent="0.3">
      <c r="A46" s="1">
        <v>115</v>
      </c>
      <c r="B46" s="1" t="s">
        <v>47</v>
      </c>
      <c r="C46" s="13" t="str" cm="1">
        <f t="array" ref="C46">_xlfn.IFS(LEN(B46) &lt;= 25, "Short", AND(LEN(B46) &gt; 25, LEN(B46) &lt;= 50), "Medium", LEN(B46) &gt; 50, "Long")</f>
        <v>Short</v>
      </c>
      <c r="D46" s="14" t="s">
        <v>77</v>
      </c>
      <c r="E46" s="1" t="s">
        <v>251</v>
      </c>
      <c r="F46" s="13" t="b">
        <f t="shared" si="0"/>
        <v>0</v>
      </c>
    </row>
    <row r="47" spans="1:6" x14ac:dyDescent="0.3">
      <c r="A47" s="1">
        <v>116</v>
      </c>
      <c r="B47" s="1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4" t="s">
        <v>76</v>
      </c>
      <c r="E47" s="1" t="s">
        <v>76</v>
      </c>
      <c r="F47" s="13" t="b">
        <f t="shared" si="0"/>
        <v>1</v>
      </c>
    </row>
    <row r="48" spans="1:6" x14ac:dyDescent="0.3">
      <c r="A48" s="1">
        <v>117</v>
      </c>
      <c r="B48" s="1" t="s">
        <v>61</v>
      </c>
      <c r="C48" s="13" t="str" cm="1">
        <f t="array" ref="C48">_xlfn.IFS(LEN(B48) &lt;= 25, "Short", AND(LEN(B48) &gt; 25, LEN(B48) &lt;= 50), "Medium", LEN(B48) &gt; 50, "Long")</f>
        <v>Short</v>
      </c>
      <c r="D48" s="14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118</v>
      </c>
      <c r="B49" s="1" t="s">
        <v>30</v>
      </c>
      <c r="C49" s="13" t="str" cm="1">
        <f t="array" ref="C49">_xlfn.IFS(LEN(B49) &lt;= 25, "Short", AND(LEN(B49) &gt; 25, LEN(B49) &lt;= 50), "Medium", LEN(B49) &gt; 50, "Long")</f>
        <v>Medium</v>
      </c>
      <c r="D49" s="14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119</v>
      </c>
      <c r="B50" s="1" t="s">
        <v>65</v>
      </c>
      <c r="C50" s="13" t="str" cm="1">
        <f t="array" ref="C50">_xlfn.IFS(LEN(B50) &lt;= 25, "Short", AND(LEN(B50) &gt; 25, LEN(B50) &lt;= 50), "Medium", LEN(B50) &gt; 50, "Long")</f>
        <v>Short</v>
      </c>
      <c r="D50" s="14" t="s">
        <v>77</v>
      </c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" t="s">
        <v>112</v>
      </c>
      <c r="C51" s="13" t="str" cm="1">
        <f t="array" ref="C51">_xlfn.IFS(LEN(B51) &lt;= 25, "Short", AND(LEN(B51) &gt; 25, LEN(B51) &lt;= 50), "Medium", LEN(B51) &gt; 50, "Long")</f>
        <v>Short</v>
      </c>
      <c r="D51" s="14" t="s">
        <v>80</v>
      </c>
      <c r="E51" s="1" t="s">
        <v>80</v>
      </c>
      <c r="F51" s="13" t="b">
        <f t="shared" si="0"/>
        <v>1</v>
      </c>
    </row>
    <row r="52" spans="1:6" x14ac:dyDescent="0.3">
      <c r="A52" s="1">
        <v>121</v>
      </c>
      <c r="B52" s="1" t="s">
        <v>113</v>
      </c>
      <c r="C52" s="13" t="str" cm="1">
        <f t="array" ref="C52">_xlfn.IFS(LEN(B52) &lt;= 25, "Short", AND(LEN(B52) &gt; 25, LEN(B52) &lt;= 50), "Medium", LEN(B52) &gt; 50, "Long")</f>
        <v>Short</v>
      </c>
      <c r="D52" s="14" t="s">
        <v>77</v>
      </c>
      <c r="E52" s="1" t="s">
        <v>77</v>
      </c>
      <c r="F52" s="13" t="b">
        <f t="shared" si="0"/>
        <v>1</v>
      </c>
    </row>
    <row r="53" spans="1:6" x14ac:dyDescent="0.3">
      <c r="A53" s="1">
        <v>122</v>
      </c>
      <c r="B53" s="1" t="s">
        <v>73</v>
      </c>
      <c r="C53" s="13" t="str" cm="1">
        <f t="array" ref="C53">_xlfn.IFS(LEN(B53) &lt;= 25, "Short", AND(LEN(B53) &gt; 25, LEN(B53) &lt;= 50), "Medium", LEN(B53) &gt; 50, "Long")</f>
        <v>Short</v>
      </c>
      <c r="D53" s="14" t="s">
        <v>76</v>
      </c>
      <c r="E53" s="1" t="s">
        <v>76</v>
      </c>
      <c r="F53" s="13" t="b">
        <f t="shared" si="0"/>
        <v>1</v>
      </c>
    </row>
    <row r="54" spans="1:6" x14ac:dyDescent="0.3">
      <c r="A54" s="1">
        <v>123</v>
      </c>
      <c r="B54" s="1" t="s">
        <v>18</v>
      </c>
      <c r="C54" s="13" t="str" cm="1">
        <f t="array" ref="C54">_xlfn.IFS(LEN(B54) &lt;= 25, "Short", AND(LEN(B54) &gt; 25, LEN(B54) &lt;= 50), "Medium", LEN(B54) &gt; 50, "Long")</f>
        <v>Medium</v>
      </c>
      <c r="D54" s="14" t="s">
        <v>79</v>
      </c>
      <c r="E54" s="1" t="s">
        <v>79</v>
      </c>
      <c r="F54" s="13" t="b">
        <f t="shared" si="0"/>
        <v>1</v>
      </c>
    </row>
    <row r="55" spans="1:6" x14ac:dyDescent="0.3">
      <c r="A55" s="1">
        <v>124</v>
      </c>
      <c r="B55" s="1" t="s">
        <v>43</v>
      </c>
      <c r="C55" s="13" t="str" cm="1">
        <f t="array" ref="C55">_xlfn.IFS(LEN(B55) &lt;= 25, "Short", AND(LEN(B55) &gt; 25, LEN(B55) &lt;= 50), "Medium", LEN(B55) &gt; 50, "Long")</f>
        <v>Short</v>
      </c>
      <c r="D55" s="14" t="s">
        <v>77</v>
      </c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" t="s">
        <v>25</v>
      </c>
      <c r="C56" s="13" t="str" cm="1">
        <f t="array" ref="C56">_xlfn.IFS(LEN(B56) &lt;= 25, "Short", AND(LEN(B56) &gt; 25, LEN(B56) &lt;= 50), "Medium", LEN(B56) &gt; 50, "Long")</f>
        <v>Short</v>
      </c>
      <c r="D56" s="14" t="s">
        <v>79</v>
      </c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4" t="s">
        <v>76</v>
      </c>
      <c r="E57" s="1" t="s">
        <v>76</v>
      </c>
      <c r="F57" s="13" t="b">
        <f t="shared" si="0"/>
        <v>1</v>
      </c>
    </row>
    <row r="58" spans="1:6" x14ac:dyDescent="0.3">
      <c r="A58" s="1">
        <v>127</v>
      </c>
      <c r="B58" s="1" t="s">
        <v>115</v>
      </c>
      <c r="C58" s="13" t="str" cm="1">
        <f t="array" ref="C58">_xlfn.IFS(LEN(B58) &lt;= 25, "Short", AND(LEN(B58) &gt; 25, LEN(B58) &lt;= 50), "Medium", LEN(B58) &gt; 50, "Long")</f>
        <v>Medium</v>
      </c>
      <c r="D58" s="14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128</v>
      </c>
      <c r="B59" s="1" t="s">
        <v>20</v>
      </c>
      <c r="C59" s="13" t="str" cm="1">
        <f t="array" ref="C59">_xlfn.IFS(LEN(B59) &lt;= 25, "Short", AND(LEN(B59) &gt; 25, LEN(B59) &lt;= 50), "Medium", LEN(B59) &gt; 50, "Long")</f>
        <v>Short</v>
      </c>
      <c r="D59" s="14" t="s">
        <v>77</v>
      </c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" t="s">
        <v>116</v>
      </c>
      <c r="C60" s="13" t="str" cm="1">
        <f t="array" ref="C60">_xlfn.IFS(LEN(B60) &lt;= 25, "Short", AND(LEN(B60) &gt; 25, LEN(B60) &lt;= 50), "Medium", LEN(B60) &gt; 50, "Long")</f>
        <v>Short</v>
      </c>
      <c r="D60" s="14" t="s">
        <v>76</v>
      </c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4" t="s">
        <v>76</v>
      </c>
      <c r="E61" s="1" t="s">
        <v>76</v>
      </c>
      <c r="F61" s="13" t="b">
        <f t="shared" si="0"/>
        <v>1</v>
      </c>
    </row>
    <row r="62" spans="1:6" x14ac:dyDescent="0.3">
      <c r="A62" s="1">
        <v>131</v>
      </c>
      <c r="B62" s="1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4" t="s">
        <v>251</v>
      </c>
      <c r="E62" s="1" t="s">
        <v>251</v>
      </c>
      <c r="F62" s="13" t="b">
        <f t="shared" si="0"/>
        <v>1</v>
      </c>
    </row>
    <row r="63" spans="1:6" x14ac:dyDescent="0.3">
      <c r="A63" s="1">
        <v>132</v>
      </c>
      <c r="B63" s="1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4" t="s">
        <v>79</v>
      </c>
      <c r="E63" s="1" t="s">
        <v>79</v>
      </c>
      <c r="F63" s="13" t="b">
        <f t="shared" si="0"/>
        <v>1</v>
      </c>
    </row>
    <row r="64" spans="1:6" x14ac:dyDescent="0.3">
      <c r="A64" s="1">
        <v>133</v>
      </c>
      <c r="B64" s="1" t="s">
        <v>24</v>
      </c>
      <c r="C64" s="13" t="str" cm="1">
        <f t="array" ref="C64">_xlfn.IFS(LEN(B64) &lt;= 25, "Short", AND(LEN(B64) &gt; 25, LEN(B64) &lt;= 50), "Medium", LEN(B64) &gt; 50, "Long")</f>
        <v>Short</v>
      </c>
      <c r="D64" s="14" t="s">
        <v>77</v>
      </c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4" t="s">
        <v>81</v>
      </c>
      <c r="E65" s="1" t="s">
        <v>81</v>
      </c>
      <c r="F65" s="13" t="b">
        <f t="shared" si="0"/>
        <v>1</v>
      </c>
    </row>
    <row r="66" spans="1:6" x14ac:dyDescent="0.3">
      <c r="A66" s="1">
        <v>135</v>
      </c>
      <c r="B66" s="1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4" t="s">
        <v>80</v>
      </c>
      <c r="E66" s="1" t="s">
        <v>80</v>
      </c>
      <c r="F66" s="13" t="b">
        <f t="shared" si="0"/>
        <v>1</v>
      </c>
    </row>
    <row r="67" spans="1:6" x14ac:dyDescent="0.3">
      <c r="A67" s="1">
        <v>136</v>
      </c>
      <c r="B67" s="1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4" t="s">
        <v>81</v>
      </c>
      <c r="E67" s="1" t="s">
        <v>81</v>
      </c>
      <c r="F67" s="13" t="b">
        <f t="shared" ref="F67:F130" si="7">IF(D67=E67, TRUE, FALSE)</f>
        <v>1</v>
      </c>
    </row>
    <row r="68" spans="1:6" x14ac:dyDescent="0.3">
      <c r="A68" s="1">
        <v>137</v>
      </c>
      <c r="B68" s="1" t="s">
        <v>69</v>
      </c>
      <c r="C68" s="13" t="str" cm="1">
        <f t="array" ref="C68">_xlfn.IFS(LEN(B68) &lt;= 25, "Short", AND(LEN(B68) &gt; 25, LEN(B68) &lt;= 50), "Medium", LEN(B68) &gt; 50, "Long")</f>
        <v>Medium</v>
      </c>
      <c r="D68" s="14" t="s">
        <v>77</v>
      </c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4" t="s">
        <v>80</v>
      </c>
      <c r="E69" s="1" t="s">
        <v>80</v>
      </c>
      <c r="F69" s="13" t="b">
        <f t="shared" si="7"/>
        <v>1</v>
      </c>
    </row>
    <row r="70" spans="1:6" x14ac:dyDescent="0.3">
      <c r="A70" s="1">
        <v>139</v>
      </c>
      <c r="B70" s="1" t="s">
        <v>119</v>
      </c>
      <c r="C70" s="13" t="str" cm="1">
        <f t="array" ref="C70">_xlfn.IFS(LEN(B70) &lt;= 25, "Short", AND(LEN(B70) &gt; 25, LEN(B70) &lt;= 50), "Medium", LEN(B70) &gt; 50, "Long")</f>
        <v>Medium</v>
      </c>
      <c r="D70" s="14" t="s">
        <v>77</v>
      </c>
      <c r="E70" s="1" t="s">
        <v>251</v>
      </c>
      <c r="F70" s="13" t="b">
        <f t="shared" si="7"/>
        <v>0</v>
      </c>
    </row>
    <row r="71" spans="1:6" x14ac:dyDescent="0.3">
      <c r="A71" s="1">
        <v>140</v>
      </c>
      <c r="B71" s="1" t="s">
        <v>120</v>
      </c>
      <c r="C71" s="13" t="str" cm="1">
        <f t="array" ref="C71">_xlfn.IFS(LEN(B71) &lt;= 25, "Short", AND(LEN(B71) &gt; 25, LEN(B71) &lt;= 50), "Medium", LEN(B71) &gt; 50, "Long")</f>
        <v>Short</v>
      </c>
      <c r="D71" s="14" t="s">
        <v>81</v>
      </c>
      <c r="E71" s="1" t="s">
        <v>81</v>
      </c>
      <c r="F71" s="13" t="b">
        <f t="shared" si="7"/>
        <v>1</v>
      </c>
    </row>
    <row r="72" spans="1:6" x14ac:dyDescent="0.3">
      <c r="A72" s="1">
        <v>141</v>
      </c>
      <c r="B72" s="1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4" t="s">
        <v>251</v>
      </c>
      <c r="E72" s="1" t="s">
        <v>251</v>
      </c>
      <c r="F72" s="13" t="b">
        <f t="shared" si="7"/>
        <v>1</v>
      </c>
    </row>
    <row r="73" spans="1:6" x14ac:dyDescent="0.3">
      <c r="A73" s="1">
        <v>142</v>
      </c>
      <c r="B73" s="1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4" t="s">
        <v>81</v>
      </c>
      <c r="E73" s="1" t="s">
        <v>251</v>
      </c>
      <c r="F73" s="13" t="b">
        <f t="shared" si="7"/>
        <v>0</v>
      </c>
    </row>
    <row r="74" spans="1:6" x14ac:dyDescent="0.3">
      <c r="A74" s="1">
        <v>143</v>
      </c>
      <c r="B74" s="1" t="s">
        <v>49</v>
      </c>
      <c r="C74" s="13" t="str" cm="1">
        <f t="array" ref="C74">_xlfn.IFS(LEN(B74) &lt;= 25, "Short", AND(LEN(B74) &gt; 25, LEN(B74) &lt;= 50), "Medium", LEN(B74) &gt; 50, "Long")</f>
        <v>Medium</v>
      </c>
      <c r="D74" s="14" t="s">
        <v>79</v>
      </c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" t="s">
        <v>59</v>
      </c>
      <c r="C75" s="13" t="str" cm="1">
        <f t="array" ref="C75">_xlfn.IFS(LEN(B75) &lt;= 25, "Short", AND(LEN(B75) &gt; 25, LEN(B75) &lt;= 50), "Medium", LEN(B75) &gt; 50, "Long")</f>
        <v>Medium</v>
      </c>
      <c r="D75" s="14" t="s">
        <v>76</v>
      </c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4" t="s">
        <v>79</v>
      </c>
      <c r="E76" s="1" t="s">
        <v>79</v>
      </c>
      <c r="F76" s="13" t="b">
        <f t="shared" si="7"/>
        <v>1</v>
      </c>
    </row>
    <row r="77" spans="1:6" x14ac:dyDescent="0.3">
      <c r="A77" s="1">
        <v>146</v>
      </c>
      <c r="B77" s="1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4" t="s">
        <v>82</v>
      </c>
      <c r="E77" s="1" t="s">
        <v>82</v>
      </c>
      <c r="F77" s="13" t="b">
        <f t="shared" si="7"/>
        <v>1</v>
      </c>
    </row>
    <row r="78" spans="1:6" x14ac:dyDescent="0.3">
      <c r="A78" s="1">
        <v>147</v>
      </c>
      <c r="B78" s="1" t="s">
        <v>123</v>
      </c>
      <c r="C78" s="13" t="str" cm="1">
        <f t="array" ref="C78">_xlfn.IFS(LEN(B78) &lt;= 25, "Short", AND(LEN(B78) &gt; 25, LEN(B78) &lt;= 50), "Medium", LEN(B78) &gt; 50, "Long")</f>
        <v>Medium</v>
      </c>
      <c r="D78" s="14" t="s">
        <v>81</v>
      </c>
      <c r="E78" s="1" t="s">
        <v>81</v>
      </c>
      <c r="F78" s="13" t="b">
        <f t="shared" si="7"/>
        <v>1</v>
      </c>
    </row>
    <row r="79" spans="1:6" x14ac:dyDescent="0.3">
      <c r="A79" s="1">
        <v>148</v>
      </c>
      <c r="B79" s="1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4" t="s">
        <v>81</v>
      </c>
      <c r="E79" s="1" t="s">
        <v>81</v>
      </c>
      <c r="F79" s="13" t="b">
        <f t="shared" si="7"/>
        <v>1</v>
      </c>
    </row>
    <row r="80" spans="1:6" x14ac:dyDescent="0.3">
      <c r="A80" s="1">
        <v>149</v>
      </c>
      <c r="B80" s="1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4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150</v>
      </c>
      <c r="B81" s="1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4" t="s">
        <v>79</v>
      </c>
      <c r="E81" s="1" t="s">
        <v>79</v>
      </c>
      <c r="F81" s="13" t="b">
        <f t="shared" si="7"/>
        <v>1</v>
      </c>
    </row>
    <row r="82" spans="1:6" x14ac:dyDescent="0.3">
      <c r="A82" s="1">
        <v>151</v>
      </c>
      <c r="B82" s="1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4" t="s">
        <v>80</v>
      </c>
      <c r="E82" s="1" t="s">
        <v>80</v>
      </c>
      <c r="F82" s="13" t="b">
        <f t="shared" si="7"/>
        <v>1</v>
      </c>
    </row>
    <row r="83" spans="1:6" x14ac:dyDescent="0.3">
      <c r="A83" s="1">
        <v>152</v>
      </c>
      <c r="B83" s="1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4" t="s">
        <v>81</v>
      </c>
      <c r="E83" s="1" t="s">
        <v>81</v>
      </c>
      <c r="F83" s="13" t="b">
        <f t="shared" si="7"/>
        <v>1</v>
      </c>
    </row>
    <row r="84" spans="1:6" x14ac:dyDescent="0.3">
      <c r="A84" s="1">
        <v>153</v>
      </c>
      <c r="B84" s="1" t="s">
        <v>127</v>
      </c>
      <c r="C84" s="13" t="str" cm="1">
        <f t="array" ref="C84">_xlfn.IFS(LEN(B84) &lt;= 25, "Short", AND(LEN(B84) &gt; 25, LEN(B84) &lt;= 50), "Medium", LEN(B84) &gt; 50, "Long")</f>
        <v>Short</v>
      </c>
      <c r="D84" s="14" t="s">
        <v>77</v>
      </c>
      <c r="E84" s="1" t="s">
        <v>251</v>
      </c>
      <c r="F84" s="13" t="b">
        <f t="shared" si="7"/>
        <v>0</v>
      </c>
    </row>
    <row r="85" spans="1:6" x14ac:dyDescent="0.3">
      <c r="A85" s="1">
        <v>154</v>
      </c>
      <c r="B85" s="1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4" t="s">
        <v>77</v>
      </c>
      <c r="E85" s="1" t="s">
        <v>77</v>
      </c>
      <c r="F85" s="13" t="b">
        <f t="shared" si="7"/>
        <v>1</v>
      </c>
    </row>
    <row r="86" spans="1:6" x14ac:dyDescent="0.3">
      <c r="A86" s="1">
        <v>155</v>
      </c>
      <c r="B86" s="1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4" t="s">
        <v>79</v>
      </c>
      <c r="E86" s="1" t="s">
        <v>79</v>
      </c>
      <c r="F86" s="13" t="b">
        <f t="shared" si="7"/>
        <v>1</v>
      </c>
    </row>
    <row r="87" spans="1:6" x14ac:dyDescent="0.3">
      <c r="A87" s="1">
        <v>156</v>
      </c>
      <c r="B87" s="1" t="s">
        <v>128</v>
      </c>
      <c r="C87" s="13" t="str" cm="1">
        <f t="array" ref="C87">_xlfn.IFS(LEN(B87) &lt;= 25, "Short", AND(LEN(B87) &gt; 25, LEN(B87) &lt;= 50), "Medium", LEN(B87) &gt; 50, "Long")</f>
        <v>Short</v>
      </c>
      <c r="D87" s="14" t="s">
        <v>76</v>
      </c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" t="s">
        <v>129</v>
      </c>
      <c r="C88" s="13" t="str" cm="1">
        <f t="array" ref="C88">_xlfn.IFS(LEN(B88) &lt;= 25, "Short", AND(LEN(B88) &gt; 25, LEN(B88) &lt;= 50), "Medium", LEN(B88) &gt; 50, "Long")</f>
        <v>Medium</v>
      </c>
      <c r="D88" s="14" t="s">
        <v>251</v>
      </c>
      <c r="E88" s="1" t="s">
        <v>251</v>
      </c>
      <c r="F88" s="13" t="b">
        <f t="shared" si="7"/>
        <v>1</v>
      </c>
    </row>
    <row r="89" spans="1:6" x14ac:dyDescent="0.3">
      <c r="A89" s="1">
        <v>158</v>
      </c>
      <c r="B89" s="1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4" t="s">
        <v>80</v>
      </c>
      <c r="E89" s="1" t="s">
        <v>80</v>
      </c>
      <c r="F89" s="13" t="b">
        <f t="shared" si="7"/>
        <v>1</v>
      </c>
    </row>
    <row r="90" spans="1:6" x14ac:dyDescent="0.3">
      <c r="A90" s="1">
        <v>159</v>
      </c>
      <c r="B90" s="1" t="s">
        <v>131</v>
      </c>
      <c r="C90" s="13" t="str" cm="1">
        <f t="array" ref="C90">_xlfn.IFS(LEN(B90) &lt;= 25, "Short", AND(LEN(B90) &gt; 25, LEN(B90) &lt;= 50), "Medium", LEN(B90) &gt; 50, "Long")</f>
        <v>Medium</v>
      </c>
      <c r="D90" s="14" t="s">
        <v>76</v>
      </c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" t="s">
        <v>132</v>
      </c>
      <c r="C91" s="13" t="str" cm="1">
        <f t="array" ref="C91">_xlfn.IFS(LEN(B91) &lt;= 25, "Short", AND(LEN(B91) &gt; 25, LEN(B91) &lt;= 50), "Medium", LEN(B91) &gt; 50, "Long")</f>
        <v>Short</v>
      </c>
      <c r="D91" s="14" t="s">
        <v>76</v>
      </c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" t="s">
        <v>55</v>
      </c>
      <c r="C92" s="13" t="str" cm="1">
        <f t="array" ref="C92">_xlfn.IFS(LEN(B92) &lt;= 25, "Short", AND(LEN(B92) &gt; 25, LEN(B92) &lt;= 50), "Medium", LEN(B92) &gt; 50, "Long")</f>
        <v>Short</v>
      </c>
      <c r="D92" s="14" t="s">
        <v>82</v>
      </c>
      <c r="E92" s="1" t="s">
        <v>82</v>
      </c>
      <c r="F92" s="13" t="b">
        <f t="shared" si="7"/>
        <v>1</v>
      </c>
    </row>
    <row r="93" spans="1:6" x14ac:dyDescent="0.3">
      <c r="A93" s="1">
        <v>162</v>
      </c>
      <c r="B93" s="1" t="s">
        <v>36</v>
      </c>
      <c r="C93" s="13" t="str" cm="1">
        <f t="array" ref="C93">_xlfn.IFS(LEN(B93) &lt;= 25, "Short", AND(LEN(B93) &gt; 25, LEN(B93) &lt;= 50), "Medium", LEN(B93) &gt; 50, "Long")</f>
        <v>Medium</v>
      </c>
      <c r="D93" s="14" t="s">
        <v>79</v>
      </c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" t="s">
        <v>53</v>
      </c>
      <c r="C94" s="13" t="str" cm="1">
        <f t="array" ref="C94">_xlfn.IFS(LEN(B94) &lt;= 25, "Short", AND(LEN(B94) &gt; 25, LEN(B94) &lt;= 50), "Medium", LEN(B94) &gt; 50, "Long")</f>
        <v>Long</v>
      </c>
      <c r="D94" s="14" t="s">
        <v>77</v>
      </c>
      <c r="E94" s="1" t="s">
        <v>77</v>
      </c>
      <c r="F94" s="13" t="b">
        <f t="shared" si="7"/>
        <v>1</v>
      </c>
    </row>
    <row r="95" spans="1:6" x14ac:dyDescent="0.3">
      <c r="A95" s="1">
        <v>164</v>
      </c>
      <c r="B95" s="1" t="s">
        <v>71</v>
      </c>
      <c r="C95" s="13" t="str" cm="1">
        <f t="array" ref="C95">_xlfn.IFS(LEN(B95) &lt;= 25, "Short", AND(LEN(B95) &gt; 25, LEN(B95) &lt;= 50), "Medium", LEN(B95) &gt; 50, "Long")</f>
        <v>Medium</v>
      </c>
      <c r="D95" s="14" t="s">
        <v>79</v>
      </c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4" t="s">
        <v>76</v>
      </c>
      <c r="E96" s="1" t="s">
        <v>76</v>
      </c>
      <c r="F96" s="13" t="b">
        <f t="shared" si="7"/>
        <v>1</v>
      </c>
    </row>
    <row r="97" spans="1:6" x14ac:dyDescent="0.3">
      <c r="A97" s="1">
        <v>166</v>
      </c>
      <c r="B97" s="1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4" t="s">
        <v>80</v>
      </c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" t="s">
        <v>8</v>
      </c>
      <c r="C98" s="13" t="str" cm="1">
        <f t="array" ref="C98">_xlfn.IFS(LEN(B98) &lt;= 25, "Short", AND(LEN(B98) &gt; 25, LEN(B98) &lt;= 50), "Medium", LEN(B98) &gt; 50, "Long")</f>
        <v>Short</v>
      </c>
      <c r="D98" s="14" t="s">
        <v>82</v>
      </c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" t="s">
        <v>56</v>
      </c>
      <c r="C99" s="13" t="str" cm="1">
        <f t="array" ref="C99">_xlfn.IFS(LEN(B99) &lt;= 25, "Short", AND(LEN(B99) &gt; 25, LEN(B99) &lt;= 50), "Medium", LEN(B99) &gt; 50, "Long")</f>
        <v>Short</v>
      </c>
      <c r="D99" s="14" t="s">
        <v>77</v>
      </c>
      <c r="E99" s="1" t="s">
        <v>77</v>
      </c>
      <c r="F99" s="13" t="b">
        <f t="shared" si="7"/>
        <v>1</v>
      </c>
    </row>
    <row r="100" spans="1:6" x14ac:dyDescent="0.3">
      <c r="A100" s="1">
        <v>169</v>
      </c>
      <c r="B100" s="1" t="s">
        <v>62</v>
      </c>
      <c r="C100" s="13" t="str" cm="1">
        <f t="array" ref="C100">_xlfn.IFS(LEN(B100) &lt;= 25, "Short", AND(LEN(B100) &gt; 25, LEN(B100) &lt;= 50), "Medium", LEN(B100) &gt; 50, "Long")</f>
        <v>Short</v>
      </c>
      <c r="D100" s="14" t="s">
        <v>76</v>
      </c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" t="s">
        <v>134</v>
      </c>
      <c r="C101" s="13" t="str" cm="1">
        <f t="array" ref="C101">_xlfn.IFS(LEN(B101) &lt;= 25, "Short", AND(LEN(B101) &gt; 25, LEN(B101) &lt;= 50), "Medium", LEN(B101) &gt; 50, "Long")</f>
        <v>Medium</v>
      </c>
      <c r="D101" s="14" t="s">
        <v>251</v>
      </c>
      <c r="E101" s="1" t="s">
        <v>251</v>
      </c>
      <c r="F101" s="13" t="b">
        <f t="shared" si="7"/>
        <v>1</v>
      </c>
    </row>
    <row r="102" spans="1:6" x14ac:dyDescent="0.3">
      <c r="A102" s="1">
        <v>171</v>
      </c>
      <c r="B102" s="1" t="s">
        <v>135</v>
      </c>
      <c r="C102" s="13" t="str" cm="1">
        <f t="array" ref="C102">_xlfn.IFS(LEN(B102) &lt;= 25, "Short", AND(LEN(B102) &gt; 25, LEN(B102) &lt;= 50), "Medium", LEN(B102) &gt; 50, "Long")</f>
        <v>Short</v>
      </c>
      <c r="D102" s="14" t="s">
        <v>81</v>
      </c>
      <c r="E102" s="1" t="s">
        <v>81</v>
      </c>
      <c r="F102" s="13" t="b">
        <f t="shared" si="7"/>
        <v>1</v>
      </c>
    </row>
    <row r="103" spans="1:6" x14ac:dyDescent="0.3">
      <c r="A103" s="1">
        <v>172</v>
      </c>
      <c r="B103" s="1" t="s">
        <v>7</v>
      </c>
      <c r="C103" s="13" t="str" cm="1">
        <f t="array" ref="C103">_xlfn.IFS(LEN(B103) &lt;= 25, "Short", AND(LEN(B103) &gt; 25, LEN(B103) &lt;= 50), "Medium", LEN(B103) &gt; 50, "Long")</f>
        <v>Short</v>
      </c>
      <c r="D103" s="14" t="s">
        <v>76</v>
      </c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" t="s">
        <v>136</v>
      </c>
      <c r="C104" s="13" t="str" cm="1">
        <f t="array" ref="C104">_xlfn.IFS(LEN(B104) &lt;= 25, "Short", AND(LEN(B104) &gt; 25, LEN(B104) &lt;= 50), "Medium", LEN(B104) &gt; 50, "Long")</f>
        <v>Long</v>
      </c>
      <c r="D104" s="14" t="s">
        <v>77</v>
      </c>
      <c r="E104" s="1" t="s">
        <v>77</v>
      </c>
      <c r="F104" s="13" t="b">
        <f t="shared" si="7"/>
        <v>1</v>
      </c>
    </row>
    <row r="105" spans="1:6" x14ac:dyDescent="0.3">
      <c r="A105" s="1">
        <v>174</v>
      </c>
      <c r="B105" s="1" t="s">
        <v>137</v>
      </c>
      <c r="C105" s="13" t="str" cm="1">
        <f t="array" ref="C105">_xlfn.IFS(LEN(B105) &lt;= 25, "Short", AND(LEN(B105) &gt; 25, LEN(B105) &lt;= 50), "Medium", LEN(B105) &gt; 50, "Long")</f>
        <v>Short</v>
      </c>
      <c r="D105" s="14" t="s">
        <v>79</v>
      </c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" t="s">
        <v>138</v>
      </c>
      <c r="C106" s="13" t="str" cm="1">
        <f t="array" ref="C106">_xlfn.IFS(LEN(B106) &lt;= 25, "Short", AND(LEN(B106) &gt; 25, LEN(B106) &lt;= 50), "Medium", LEN(B106) &gt; 50, "Long")</f>
        <v>Medium</v>
      </c>
      <c r="D106" s="14" t="s">
        <v>81</v>
      </c>
      <c r="E106" s="1" t="s">
        <v>81</v>
      </c>
      <c r="F106" s="13" t="b">
        <f t="shared" si="7"/>
        <v>1</v>
      </c>
    </row>
    <row r="107" spans="1:6" x14ac:dyDescent="0.3">
      <c r="A107" s="1">
        <v>176</v>
      </c>
      <c r="B107" s="1" t="s">
        <v>139</v>
      </c>
      <c r="C107" s="13" t="str" cm="1">
        <f t="array" ref="C107">_xlfn.IFS(LEN(B107) &lt;= 25, "Short", AND(LEN(B107) &gt; 25, LEN(B107) &lt;= 50), "Medium", LEN(B107) &gt; 50, "Long")</f>
        <v>Medium</v>
      </c>
      <c r="D107" s="14" t="s">
        <v>79</v>
      </c>
      <c r="E107" s="1" t="s">
        <v>79</v>
      </c>
      <c r="F107" s="13" t="b">
        <f t="shared" si="7"/>
        <v>1</v>
      </c>
    </row>
    <row r="108" spans="1:6" x14ac:dyDescent="0.3">
      <c r="A108" s="1">
        <v>177</v>
      </c>
      <c r="B108" s="1" t="s">
        <v>70</v>
      </c>
      <c r="C108" s="13" t="str" cm="1">
        <f t="array" ref="C108">_xlfn.IFS(LEN(B108) &lt;= 25, "Short", AND(LEN(B108) &gt; 25, LEN(B108) &lt;= 50), "Medium", LEN(B108) &gt; 50, "Long")</f>
        <v>Long</v>
      </c>
      <c r="D108" s="14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178</v>
      </c>
      <c r="B109" s="1" t="s">
        <v>140</v>
      </c>
      <c r="C109" s="13" t="str" cm="1">
        <f t="array" ref="C109">_xlfn.IFS(LEN(B109) &lt;= 25, "Short", AND(LEN(B109) &gt; 25, LEN(B109) &lt;= 50), "Medium", LEN(B109) &gt; 50, "Long")</f>
        <v>Short</v>
      </c>
      <c r="D109" s="14" t="s">
        <v>79</v>
      </c>
      <c r="E109" s="1" t="s">
        <v>79</v>
      </c>
      <c r="F109" s="13" t="b">
        <f t="shared" si="7"/>
        <v>1</v>
      </c>
    </row>
    <row r="110" spans="1:6" x14ac:dyDescent="0.3">
      <c r="A110" s="1">
        <v>179</v>
      </c>
      <c r="B110" s="1" t="s">
        <v>4</v>
      </c>
      <c r="C110" s="13" t="str" cm="1">
        <f t="array" ref="C110">_xlfn.IFS(LEN(B110) &lt;= 25, "Short", AND(LEN(B110) &gt; 25, LEN(B110) &lt;= 50), "Medium", LEN(B110) &gt; 50, "Long")</f>
        <v>Medium</v>
      </c>
      <c r="D110" s="14" t="s">
        <v>77</v>
      </c>
      <c r="E110" s="1" t="s">
        <v>251</v>
      </c>
      <c r="F110" s="13" t="b">
        <f t="shared" si="7"/>
        <v>0</v>
      </c>
    </row>
    <row r="111" spans="1:6" x14ac:dyDescent="0.3">
      <c r="A111" s="1">
        <v>180</v>
      </c>
      <c r="B111" s="1" t="s">
        <v>141</v>
      </c>
      <c r="C111" s="13" t="str" cm="1">
        <f t="array" ref="C111">_xlfn.IFS(LEN(B111) &lt;= 25, "Short", AND(LEN(B111) &gt; 25, LEN(B111) &lt;= 50), "Medium", LEN(B111) &gt; 50, "Long")</f>
        <v>Medium</v>
      </c>
      <c r="D111" s="14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" t="s">
        <v>142</v>
      </c>
      <c r="C112" s="13" t="str" cm="1">
        <f t="array" ref="C112">_xlfn.IFS(LEN(B112) &lt;= 25, "Short", AND(LEN(B112) &gt; 25, LEN(B112) &lt;= 50), "Medium", LEN(B112) &gt; 50, "Long")</f>
        <v>Short</v>
      </c>
      <c r="D112" s="14" t="s">
        <v>79</v>
      </c>
      <c r="E112" s="1" t="s">
        <v>251</v>
      </c>
      <c r="F112" s="13" t="b">
        <f t="shared" si="7"/>
        <v>0</v>
      </c>
    </row>
    <row r="113" spans="1:6" x14ac:dyDescent="0.3">
      <c r="A113" s="1">
        <v>182</v>
      </c>
      <c r="B113" s="1" t="s">
        <v>143</v>
      </c>
      <c r="C113" s="13" t="str" cm="1">
        <f t="array" ref="C113">_xlfn.IFS(LEN(B113) &lt;= 25, "Short", AND(LEN(B113) &gt; 25, LEN(B113) &lt;= 50), "Medium", LEN(B113) &gt; 50, "Long")</f>
        <v>Medium</v>
      </c>
      <c r="D113" s="14" t="s">
        <v>76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4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" t="s">
        <v>6</v>
      </c>
      <c r="C115" s="13" t="str" cm="1">
        <f t="array" ref="C115">_xlfn.IFS(LEN(B115) &lt;= 25, "Short", AND(LEN(B115) &gt; 25, LEN(B115) &lt;= 50), "Medium", LEN(B115) &gt; 50, "Long")</f>
        <v>Short</v>
      </c>
      <c r="D115" s="14" t="s">
        <v>77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4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" t="s">
        <v>145</v>
      </c>
      <c r="C117" s="13" t="str" cm="1">
        <f t="array" ref="C117">_xlfn.IFS(LEN(B117) &lt;= 25, "Short", AND(LEN(B117) &gt; 25, LEN(B117) &lt;= 50), "Medium", LEN(B117) &gt; 50, "Long")</f>
        <v>Short</v>
      </c>
      <c r="D117" s="14" t="s">
        <v>82</v>
      </c>
      <c r="E117" s="1" t="s">
        <v>82</v>
      </c>
      <c r="F117" s="13" t="b">
        <f t="shared" si="7"/>
        <v>1</v>
      </c>
    </row>
    <row r="118" spans="1:6" x14ac:dyDescent="0.3">
      <c r="A118" s="1">
        <v>187</v>
      </c>
      <c r="B118" s="1" t="s">
        <v>146</v>
      </c>
      <c r="C118" s="13" t="str" cm="1">
        <f t="array" ref="C118">_xlfn.IFS(LEN(B118) &lt;= 25, "Short", AND(LEN(B118) &gt; 25, LEN(B118) &lt;= 50), "Medium", LEN(B118) &gt; 50, "Long")</f>
        <v>Medium</v>
      </c>
      <c r="D118" s="14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4" t="s">
        <v>251</v>
      </c>
      <c r="E119" s="1" t="s">
        <v>251</v>
      </c>
      <c r="F119" s="13" t="b">
        <f t="shared" si="7"/>
        <v>1</v>
      </c>
    </row>
    <row r="120" spans="1:6" x14ac:dyDescent="0.3">
      <c r="A120" s="1">
        <v>189</v>
      </c>
      <c r="B120" s="1" t="s">
        <v>28</v>
      </c>
      <c r="C120" s="13" t="str" cm="1">
        <f t="array" ref="C120">_xlfn.IFS(LEN(B120) &lt;= 25, "Short", AND(LEN(B120) &gt; 25, LEN(B120) &lt;= 50), "Medium", LEN(B120) &gt; 50, "Long")</f>
        <v>Short</v>
      </c>
      <c r="D120" s="14" t="s">
        <v>76</v>
      </c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4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191</v>
      </c>
      <c r="B122" s="1" t="s">
        <v>17</v>
      </c>
      <c r="C122" s="13" t="str" cm="1">
        <f t="array" ref="C122">_xlfn.IFS(LEN(B122) &lt;= 25, "Short", AND(LEN(B122) &gt; 25, LEN(B122) &lt;= 50), "Medium", LEN(B122) &gt; 50, "Long")</f>
        <v>Short</v>
      </c>
      <c r="D122" s="14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4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4" t="s">
        <v>76</v>
      </c>
      <c r="E124" s="1" t="s">
        <v>76</v>
      </c>
      <c r="F124" s="13" t="b">
        <f t="shared" si="7"/>
        <v>1</v>
      </c>
    </row>
    <row r="125" spans="1:6" x14ac:dyDescent="0.3">
      <c r="A125" s="1">
        <v>194</v>
      </c>
      <c r="B125" s="1" t="s">
        <v>12</v>
      </c>
      <c r="C125" s="13" t="str" cm="1">
        <f t="array" ref="C125">_xlfn.IFS(LEN(B125) &lt;= 25, "Short", AND(LEN(B125) &gt; 25, LEN(B125) &lt;= 50), "Medium", LEN(B125) &gt; 50, "Long")</f>
        <v>Short</v>
      </c>
      <c r="D125" s="14" t="s">
        <v>76</v>
      </c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" t="s">
        <v>150</v>
      </c>
      <c r="C126" s="13" t="str" cm="1">
        <f t="array" ref="C126">_xlfn.IFS(LEN(B126) &lt;= 25, "Short", AND(LEN(B126) &gt; 25, LEN(B126) &lt;= 50), "Medium", LEN(B126) &gt; 50, "Long")</f>
        <v>Short</v>
      </c>
      <c r="D126" s="14" t="s">
        <v>76</v>
      </c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4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" t="s">
        <v>16</v>
      </c>
      <c r="C128" s="13" t="str" cm="1">
        <f t="array" ref="C128">_xlfn.IFS(LEN(B128) &lt;= 25, "Short", AND(LEN(B128) &gt; 25, LEN(B128) &lt;= 50), "Medium", LEN(B128) &gt; 50, "Long")</f>
        <v>Short</v>
      </c>
      <c r="D128" s="14" t="s">
        <v>76</v>
      </c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4" t="s">
        <v>251</v>
      </c>
      <c r="E129" s="1" t="s">
        <v>251</v>
      </c>
      <c r="F129" s="13" t="b">
        <f t="shared" si="7"/>
        <v>1</v>
      </c>
    </row>
    <row r="130" spans="1:6" x14ac:dyDescent="0.3">
      <c r="A130" s="1">
        <v>199</v>
      </c>
      <c r="B130" s="1" t="s">
        <v>33</v>
      </c>
      <c r="C130" s="13" t="str" cm="1">
        <f t="array" ref="C130">_xlfn.IFS(LEN(B130) &lt;= 25, "Short", AND(LEN(B130) &gt; 25, LEN(B130) &lt;= 50), "Medium", LEN(B130) &gt; 50, "Long")</f>
        <v>Long</v>
      </c>
      <c r="D130" s="14" t="s">
        <v>77</v>
      </c>
      <c r="E130" s="1" t="s">
        <v>251</v>
      </c>
      <c r="F130" s="13" t="b">
        <f t="shared" si="7"/>
        <v>0</v>
      </c>
    </row>
    <row r="131" spans="1:6" x14ac:dyDescent="0.3">
      <c r="A131" s="1">
        <v>200</v>
      </c>
      <c r="B131" s="1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4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" t="s">
        <v>152</v>
      </c>
      <c r="C132" s="13" t="str" cm="1">
        <f t="array" ref="C132">_xlfn.IFS(LEN(B132) &lt;= 25, "Short", AND(LEN(B132) &gt; 25, LEN(B132) &lt;= 50), "Medium", LEN(B132) &gt; 50, "Long")</f>
        <v>Medium</v>
      </c>
      <c r="D132" s="14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202</v>
      </c>
      <c r="B133" s="1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4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203</v>
      </c>
      <c r="B134" s="1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4" t="s">
        <v>79</v>
      </c>
      <c r="E134" s="1" t="s">
        <v>79</v>
      </c>
      <c r="F134" s="13" t="b">
        <f t="shared" si="8"/>
        <v>1</v>
      </c>
    </row>
    <row r="135" spans="1:6" x14ac:dyDescent="0.3">
      <c r="A135" s="1">
        <v>204</v>
      </c>
      <c r="B135" s="1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4" t="s">
        <v>77</v>
      </c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" t="s">
        <v>66</v>
      </c>
      <c r="C136" s="13" t="str" cm="1">
        <f t="array" ref="C136">_xlfn.IFS(LEN(B136) &lt;= 25, "Short", AND(LEN(B136) &gt; 25, LEN(B136) &lt;= 50), "Medium", LEN(B136) &gt; 50, "Long")</f>
        <v>Medium</v>
      </c>
      <c r="D136" s="14" t="s">
        <v>79</v>
      </c>
      <c r="E136" s="1" t="s">
        <v>251</v>
      </c>
      <c r="F136" s="13" t="b">
        <f t="shared" si="8"/>
        <v>0</v>
      </c>
    </row>
    <row r="137" spans="1:6" x14ac:dyDescent="0.3">
      <c r="A137" s="1">
        <v>206</v>
      </c>
      <c r="B137" s="1" t="s">
        <v>40</v>
      </c>
      <c r="C137" s="13" t="str" cm="1">
        <f t="array" ref="C137">_xlfn.IFS(LEN(B137) &lt;= 25, "Short", AND(LEN(B137) &gt; 25, LEN(B137) &lt;= 50), "Medium", LEN(B137) &gt; 50, "Long")</f>
        <v>Medium</v>
      </c>
      <c r="D137" s="14" t="s">
        <v>251</v>
      </c>
      <c r="E137" s="1" t="s">
        <v>251</v>
      </c>
      <c r="F137" s="13" t="b">
        <f t="shared" si="8"/>
        <v>1</v>
      </c>
    </row>
    <row r="138" spans="1:6" x14ac:dyDescent="0.3">
      <c r="A138" s="1">
        <v>207</v>
      </c>
      <c r="B138" s="1" t="s">
        <v>154</v>
      </c>
      <c r="C138" s="13" t="str" cm="1">
        <f t="array" ref="C138">_xlfn.IFS(LEN(B138) &lt;= 25, "Short", AND(LEN(B138) &gt; 25, LEN(B138) &lt;= 50), "Medium", LEN(B138) &gt; 50, "Long")</f>
        <v>Medium</v>
      </c>
      <c r="D138" s="14" t="s">
        <v>80</v>
      </c>
      <c r="E138" s="1" t="s">
        <v>80</v>
      </c>
      <c r="F138" s="13" t="b">
        <f t="shared" si="8"/>
        <v>1</v>
      </c>
    </row>
    <row r="139" spans="1:6" x14ac:dyDescent="0.3">
      <c r="A139" s="1">
        <v>208</v>
      </c>
      <c r="B139" s="1" t="s">
        <v>155</v>
      </c>
      <c r="C139" s="13" t="str" cm="1">
        <f t="array" ref="C139">_xlfn.IFS(LEN(B139) &lt;= 25, "Short", AND(LEN(B139) &gt; 25, LEN(B139) &lt;= 50), "Medium", LEN(B139) &gt; 50, "Long")</f>
        <v>Long</v>
      </c>
      <c r="D139" s="14" t="s">
        <v>76</v>
      </c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4" t="s">
        <v>79</v>
      </c>
      <c r="E140" s="1" t="s">
        <v>79</v>
      </c>
      <c r="F140" s="13" t="b">
        <f t="shared" si="8"/>
        <v>1</v>
      </c>
    </row>
    <row r="141" spans="1:6" x14ac:dyDescent="0.3">
      <c r="A141" s="1">
        <v>210</v>
      </c>
      <c r="B141" s="1" t="s">
        <v>39</v>
      </c>
      <c r="C141" s="13" t="str" cm="1">
        <f t="array" ref="C141">_xlfn.IFS(LEN(B141) &lt;= 25, "Short", AND(LEN(B141) &gt; 25, LEN(B141) &lt;= 50), "Medium", LEN(B141) &gt; 50, "Long")</f>
        <v>Short</v>
      </c>
      <c r="D141" s="14" t="s">
        <v>79</v>
      </c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L211"/>
  <sheetViews>
    <sheetView tabSelected="1" topLeftCell="B1" zoomScale="85" zoomScaleNormal="85" workbookViewId="0">
      <selection activeCell="L1" sqref="L1: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231</v>
      </c>
      <c r="I1" s="1" t="s">
        <v>229</v>
      </c>
      <c r="J1" s="1" t="s">
        <v>230</v>
      </c>
      <c r="L1" s="18" t="s">
        <v>263</v>
      </c>
    </row>
    <row r="2" spans="1:12" x14ac:dyDescent="0.3">
      <c r="A2" s="1">
        <v>211</v>
      </c>
      <c r="B2" s="1" t="s">
        <v>48</v>
      </c>
      <c r="C2" s="1" t="str" cm="1">
        <f t="array" ref="C2">_xlfn.IFS(LEN(B2) &lt;= 25, "Short", AND(LEN(B2) &gt; 25, LEN(B2) &lt;= 50), "Medium", LEN(B2) &gt; 50, "Long")</f>
        <v>Short</v>
      </c>
      <c r="D2" s="14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96</v>
      </c>
      <c r="J2" s="4">
        <f>I2/H2</f>
        <v>0.45714285714285713</v>
      </c>
      <c r="L2" s="20">
        <f>(J2+Trial2!J2+Trial1!J2)/3</f>
        <v>0.57142857142857151</v>
      </c>
    </row>
    <row r="3" spans="1:12" x14ac:dyDescent="0.3">
      <c r="A3" s="1">
        <v>212</v>
      </c>
      <c r="B3" s="1" t="s">
        <v>106</v>
      </c>
      <c r="C3" s="13" t="str" cm="1">
        <f t="array" ref="C3">_xlfn.IFS(LEN(B3) &lt;= 25, "Short", AND(LEN(B3) &gt; 25, LEN(B3) &lt;= 50), "Medium", LEN(B3) &gt; 50, "Long")</f>
        <v>Medium</v>
      </c>
      <c r="D3" s="14" t="s">
        <v>76</v>
      </c>
      <c r="E3" s="1" t="s">
        <v>76</v>
      </c>
      <c r="F3" s="13" t="b">
        <f t="shared" ref="F3:F66" si="0">IF(D3=E3, TRUE, FALSE)</f>
        <v>1</v>
      </c>
    </row>
    <row r="4" spans="1:12" x14ac:dyDescent="0.3">
      <c r="A4" s="1">
        <v>213</v>
      </c>
      <c r="B4" s="1" t="s">
        <v>156</v>
      </c>
      <c r="C4" s="13" t="str" cm="1">
        <f t="array" ref="C4">_xlfn.IFS(LEN(B4) &lt;= 25, "Short", AND(LEN(B4) &gt; 25, LEN(B4) &lt;= 50), "Medium", LEN(B4) &gt; 50, "Long")</f>
        <v>Short</v>
      </c>
      <c r="D4" s="14" t="s">
        <v>79</v>
      </c>
      <c r="E4" s="1" t="s">
        <v>79</v>
      </c>
      <c r="F4" s="13" t="b">
        <f t="shared" si="0"/>
        <v>1</v>
      </c>
      <c r="H4" s="19" t="s">
        <v>237</v>
      </c>
      <c r="I4" s="19"/>
      <c r="J4" s="19"/>
      <c r="K4" s="19"/>
    </row>
    <row r="5" spans="1:12" x14ac:dyDescent="0.3">
      <c r="A5" s="1">
        <v>214</v>
      </c>
      <c r="B5" s="1" t="s">
        <v>12</v>
      </c>
      <c r="C5" s="13" t="str" cm="1">
        <f t="array" ref="C5">_xlfn.IFS(LEN(B5) &lt;= 25, "Short", AND(LEN(B5) &gt; 25, LEN(B5) &lt;= 50), "Medium", LEN(B5) &gt; 50, "Long")</f>
        <v>Short</v>
      </c>
      <c r="D5" s="14" t="s">
        <v>76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215</v>
      </c>
      <c r="B6" s="1" t="s">
        <v>23</v>
      </c>
      <c r="C6" s="13" t="str" cm="1">
        <f t="array" ref="C6">_xlfn.IFS(LEN(B6) &lt;= 25, "Short", AND(LEN(B6) &gt; 25, LEN(B6) &lt;= 50), "Medium", LEN(B6) &gt; 50, "Long")</f>
        <v>Medium</v>
      </c>
      <c r="D6" s="14" t="s">
        <v>81</v>
      </c>
      <c r="E6" s="1" t="s">
        <v>82</v>
      </c>
      <c r="F6" s="13" t="b">
        <f t="shared" si="0"/>
        <v>0</v>
      </c>
      <c r="H6" s="1" t="s">
        <v>251</v>
      </c>
      <c r="I6" s="1">
        <f>COUNTIF($E$2:$E$211,H6)</f>
        <v>30</v>
      </c>
      <c r="J6" s="1">
        <f>COUNTIFS($E$2:$E$211, H6, $D$2:$D$211, H6)</f>
        <v>18</v>
      </c>
      <c r="K6" s="3">
        <f>J6/I6</f>
        <v>0.6</v>
      </c>
    </row>
    <row r="7" spans="1:12" x14ac:dyDescent="0.3">
      <c r="A7" s="1">
        <v>216</v>
      </c>
      <c r="B7" s="1" t="s">
        <v>62</v>
      </c>
      <c r="C7" s="13" t="str" cm="1">
        <f t="array" ref="C7">_xlfn.IFS(LEN(B7) &lt;= 25, "Short", AND(LEN(B7) &gt; 25, LEN(B7) &lt;= 50), "Medium", LEN(B7) &gt; 50, "Long")</f>
        <v>Short</v>
      </c>
      <c r="D7" s="14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15</v>
      </c>
      <c r="K7" s="3">
        <f t="shared" ref="K7:K12" si="3">J7/I7</f>
        <v>0.5</v>
      </c>
    </row>
    <row r="8" spans="1:12" x14ac:dyDescent="0.3">
      <c r="A8" s="1">
        <v>217</v>
      </c>
      <c r="B8" s="1" t="s">
        <v>64</v>
      </c>
      <c r="C8" s="13" t="str" cm="1">
        <f t="array" ref="C8">_xlfn.IFS(LEN(B8) &lt;= 25, "Short", AND(LEN(B8) &gt; 25, LEN(B8) &lt;= 50), "Medium", LEN(B8) &gt; 50, "Long")</f>
        <v>Short</v>
      </c>
      <c r="D8" s="14" t="s">
        <v>251</v>
      </c>
      <c r="E8" s="1" t="s">
        <v>251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11</v>
      </c>
      <c r="K8" s="3">
        <f t="shared" si="3"/>
        <v>0.36666666666666664</v>
      </c>
    </row>
    <row r="9" spans="1:12" x14ac:dyDescent="0.3">
      <c r="A9" s="1">
        <v>218</v>
      </c>
      <c r="B9" s="1" t="s">
        <v>107</v>
      </c>
      <c r="C9" s="13" t="str" cm="1">
        <f t="array" ref="C9">_xlfn.IFS(LEN(B9) &lt;= 25, "Short", AND(LEN(B9) &gt; 25, LEN(B9) &lt;= 50), "Medium", LEN(B9) &gt; 50, "Long")</f>
        <v>Short</v>
      </c>
      <c r="D9" s="14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11</v>
      </c>
      <c r="K9" s="3">
        <f t="shared" si="3"/>
        <v>0.36666666666666664</v>
      </c>
    </row>
    <row r="10" spans="1:12" x14ac:dyDescent="0.3">
      <c r="A10" s="1">
        <v>219</v>
      </c>
      <c r="B10" s="1" t="s">
        <v>20</v>
      </c>
      <c r="C10" s="13" t="str" cm="1">
        <f t="array" ref="C10">_xlfn.IFS(LEN(B10) &lt;= 25, "Short", AND(LEN(B10) &gt; 25, LEN(B10) &lt;= 50), "Medium", LEN(B10) &gt; 50, "Long")</f>
        <v>Short</v>
      </c>
      <c r="D10" s="14" t="s">
        <v>77</v>
      </c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4</v>
      </c>
      <c r="K10" s="3">
        <f t="shared" si="3"/>
        <v>0.13333333333333333</v>
      </c>
    </row>
    <row r="11" spans="1:12" x14ac:dyDescent="0.3">
      <c r="A11" s="1">
        <v>220</v>
      </c>
      <c r="B11" s="1" t="s">
        <v>112</v>
      </c>
      <c r="C11" s="13" t="str" cm="1">
        <f t="array" ref="C11">_xlfn.IFS(LEN(B11) &lt;= 25, "Short", AND(LEN(B11) &gt; 25, LEN(B11) &lt;= 50), "Medium", LEN(B11) &gt; 50, "Long")</f>
        <v>Short</v>
      </c>
      <c r="D11" s="14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10</v>
      </c>
      <c r="K11" s="3">
        <f t="shared" si="3"/>
        <v>0.33333333333333331</v>
      </c>
    </row>
    <row r="12" spans="1:12" x14ac:dyDescent="0.3">
      <c r="A12" s="1">
        <v>221</v>
      </c>
      <c r="B12" s="1" t="s">
        <v>160</v>
      </c>
      <c r="C12" s="13" t="str" cm="1">
        <f t="array" ref="C12">_xlfn.IFS(LEN(B12) &lt;= 25, "Short", AND(LEN(B12) &gt; 25, LEN(B12) &lt;= 50), "Medium", LEN(B12) &gt; 50, "Long")</f>
        <v>Medium</v>
      </c>
      <c r="D12" s="14" t="s">
        <v>251</v>
      </c>
      <c r="E12" s="1" t="s">
        <v>251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27</v>
      </c>
      <c r="K12" s="3">
        <f t="shared" si="3"/>
        <v>0.9</v>
      </c>
    </row>
    <row r="13" spans="1:12" x14ac:dyDescent="0.3">
      <c r="A13" s="1">
        <v>222</v>
      </c>
      <c r="B13" s="1" t="s">
        <v>133</v>
      </c>
      <c r="C13" s="13" t="str" cm="1">
        <f t="array" ref="C13">_xlfn.IFS(LEN(B13) &lt;= 25, "Short", AND(LEN(B13) &gt; 25, LEN(B13) &lt;= 50), "Medium", LEN(B13) &gt; 50, "Long")</f>
        <v>Medium</v>
      </c>
      <c r="D13" s="14" t="s">
        <v>82</v>
      </c>
      <c r="E13" s="1" t="s">
        <v>82</v>
      </c>
      <c r="F13" s="13" t="b">
        <f t="shared" si="0"/>
        <v>1</v>
      </c>
    </row>
    <row r="14" spans="1:12" x14ac:dyDescent="0.3">
      <c r="A14" s="1">
        <v>223</v>
      </c>
      <c r="B14" s="1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4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2" x14ac:dyDescent="0.3">
      <c r="A15" s="1">
        <v>224</v>
      </c>
      <c r="B15" s="1" t="s">
        <v>139</v>
      </c>
      <c r="C15" s="13" t="str" cm="1">
        <f t="array" ref="C15">_xlfn.IFS(LEN(B15) &lt;= 25, "Short", AND(LEN(B15) &gt; 25, LEN(B15) &lt;= 50), "Medium", LEN(B15) &gt; 50, "Long")</f>
        <v>Medium</v>
      </c>
      <c r="D15" s="14" t="s">
        <v>76</v>
      </c>
      <c r="E15" s="1" t="s">
        <v>79</v>
      </c>
      <c r="F15" s="13" t="b">
        <f t="shared" si="0"/>
        <v>0</v>
      </c>
      <c r="H15" s="6" t="s">
        <v>257</v>
      </c>
      <c r="I15" s="6">
        <f>COUNTIF(C2:C211, H15)</f>
        <v>97</v>
      </c>
      <c r="J15" s="6">
        <f>COUNTIFS(C2:C211, H15, F2:F211, TRUE)</f>
        <v>35</v>
      </c>
      <c r="K15" s="4">
        <f>J15/I15</f>
        <v>0.36082474226804123</v>
      </c>
    </row>
    <row r="16" spans="1:12" x14ac:dyDescent="0.3">
      <c r="A16" s="1">
        <v>225</v>
      </c>
      <c r="B16" s="1" t="s">
        <v>162</v>
      </c>
      <c r="C16" s="13" t="str" cm="1">
        <f t="array" ref="C16">_xlfn.IFS(LEN(B16) &lt;= 25, "Short", AND(LEN(B16) &gt; 25, LEN(B16) &lt;= 50), "Medium", LEN(B16) &gt; 50, "Long")</f>
        <v>Long</v>
      </c>
      <c r="D16" s="14" t="s">
        <v>76</v>
      </c>
      <c r="E16" s="1" t="s">
        <v>81</v>
      </c>
      <c r="F16" s="13" t="b">
        <f t="shared" si="0"/>
        <v>0</v>
      </c>
      <c r="H16" s="6" t="s">
        <v>256</v>
      </c>
      <c r="I16" s="6">
        <f>COUNTIFS(C2:C211, H16)</f>
        <v>95</v>
      </c>
      <c r="J16" s="6">
        <f>COUNTIFS(C2:C211, H16, F2:F211, TRUE)</f>
        <v>54</v>
      </c>
      <c r="K16" s="4">
        <f t="shared" ref="K16:K17" si="4">J16/I16</f>
        <v>0.56842105263157894</v>
      </c>
    </row>
    <row r="17" spans="1:11" x14ac:dyDescent="0.3">
      <c r="A17" s="1">
        <v>226</v>
      </c>
      <c r="B17" s="1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4" t="s">
        <v>80</v>
      </c>
      <c r="E17" s="1" t="s">
        <v>80</v>
      </c>
      <c r="F17" s="13" t="b">
        <f t="shared" si="0"/>
        <v>1</v>
      </c>
      <c r="H17" s="6" t="s">
        <v>255</v>
      </c>
      <c r="I17" s="6">
        <f>COUNTIF(C2:C211, H17)</f>
        <v>18</v>
      </c>
      <c r="J17" s="6">
        <f>COUNTIFS(C2:C211, H17, F2:F211, TRUE)</f>
        <v>7</v>
      </c>
      <c r="K17" s="4">
        <f t="shared" si="4"/>
        <v>0.3888888888888889</v>
      </c>
    </row>
    <row r="18" spans="1:11" x14ac:dyDescent="0.3">
      <c r="A18" s="1">
        <v>227</v>
      </c>
      <c r="B18" s="1" t="s">
        <v>163</v>
      </c>
      <c r="C18" s="13" t="str" cm="1">
        <f t="array" ref="C18">_xlfn.IFS(LEN(B18) &lt;= 25, "Short", AND(LEN(B18) &gt; 25, LEN(B18) &lt;= 50), "Medium", LEN(B18) &gt; 50, "Long")</f>
        <v>Short</v>
      </c>
      <c r="D18" s="14" t="s">
        <v>77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" t="s">
        <v>60</v>
      </c>
      <c r="C19" s="13" t="str" cm="1">
        <f t="array" ref="C19">_xlfn.IFS(LEN(B19) &lt;= 25, "Short", AND(LEN(B19) &gt; 25, LEN(B19) &lt;= 50), "Medium", LEN(B19) &gt; 50, "Long")</f>
        <v>Medium</v>
      </c>
      <c r="D19" s="14" t="s">
        <v>76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" t="s">
        <v>164</v>
      </c>
      <c r="C20" s="13" t="str" cm="1">
        <f t="array" ref="C20">_xlfn.IFS(LEN(B20) &lt;= 25, "Short", AND(LEN(B20) &gt; 25, LEN(B20) &lt;= 50), "Medium", LEN(B20) &gt; 50, "Long")</f>
        <v>Medium</v>
      </c>
      <c r="D20" s="14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" t="s">
        <v>165</v>
      </c>
      <c r="C21" s="13" t="str" cm="1">
        <f t="array" ref="C21">_xlfn.IFS(LEN(B21) &lt;= 25, "Short", AND(LEN(B21) &gt; 25, LEN(B21) &lt;= 50), "Medium", LEN(B21) &gt; 50, "Long")</f>
        <v>Medium</v>
      </c>
      <c r="D21" s="14" t="s">
        <v>77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" t="s">
        <v>49</v>
      </c>
      <c r="C22" s="13" t="str" cm="1">
        <f t="array" ref="C22">_xlfn.IFS(LEN(B22) &lt;= 25, "Short", AND(LEN(B22) &gt; 25, LEN(B22) &lt;= 50), "Medium", LEN(B22) &gt; 50, "Long")</f>
        <v>Medium</v>
      </c>
      <c r="D22" s="14" t="s">
        <v>79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" t="s">
        <v>166</v>
      </c>
      <c r="C23" s="13" t="str" cm="1">
        <f t="array" ref="C23">_xlfn.IFS(LEN(B23) &lt;= 25, "Short", AND(LEN(B23) &gt; 25, LEN(B23) &lt;= 50), "Medium", LEN(B23) &gt; 50, "Long")</f>
        <v>Short</v>
      </c>
      <c r="D23" s="14" t="s">
        <v>79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" t="s">
        <v>140</v>
      </c>
      <c r="C24" s="13" t="str" cm="1">
        <f t="array" ref="C24">_xlfn.IFS(LEN(B24) &lt;= 25, "Short", AND(LEN(B24) &gt; 25, LEN(B24) &lt;= 50), "Medium", LEN(B24) &gt; 50, "Long")</f>
        <v>Short</v>
      </c>
      <c r="D24" s="14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" t="s">
        <v>167</v>
      </c>
      <c r="C25" s="13" t="str" cm="1">
        <f t="array" ref="C25">_xlfn.IFS(LEN(B25) &lt;= 25, "Short", AND(LEN(B25) &gt; 25, LEN(B25) &lt;= 50), "Medium", LEN(B25) &gt; 50, "Long")</f>
        <v>Medium</v>
      </c>
      <c r="D25" s="14" t="s">
        <v>77</v>
      </c>
      <c r="E25" s="1" t="s">
        <v>77</v>
      </c>
      <c r="F25" s="13" t="b">
        <f t="shared" si="0"/>
        <v>1</v>
      </c>
      <c r="H25" s="9" t="s">
        <v>251</v>
      </c>
      <c r="I25" s="9" t="s">
        <v>81</v>
      </c>
      <c r="J25" s="7">
        <f t="shared" si="5"/>
        <v>2</v>
      </c>
      <c r="K25" s="10">
        <f>J25/I6</f>
        <v>6.6666666666666666E-2</v>
      </c>
    </row>
    <row r="26" spans="1:11" x14ac:dyDescent="0.3">
      <c r="A26" s="1">
        <v>235</v>
      </c>
      <c r="B26" s="1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4" t="s">
        <v>251</v>
      </c>
      <c r="E26" s="1" t="s">
        <v>251</v>
      </c>
      <c r="F26" s="13" t="b">
        <f t="shared" si="0"/>
        <v>1</v>
      </c>
      <c r="H26" s="9" t="s">
        <v>81</v>
      </c>
      <c r="I26" s="9" t="s">
        <v>251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" t="s">
        <v>47</v>
      </c>
      <c r="C27" s="13" t="str" cm="1">
        <f t="array" ref="C27">_xlfn.IFS(LEN(B27) &lt;= 25, "Short", AND(LEN(B27) &gt; 25, LEN(B27) &lt;= 50), "Medium", LEN(B27) &gt; 50, "Long")</f>
        <v>Short</v>
      </c>
      <c r="D27" s="14" t="s">
        <v>81</v>
      </c>
      <c r="E27" s="1" t="s">
        <v>251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4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4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4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4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" t="s">
        <v>170</v>
      </c>
      <c r="C32" s="13" t="str" cm="1">
        <f t="array" ref="C32">_xlfn.IFS(LEN(B32) &lt;= 25, "Short", AND(LEN(B32) &gt; 25, LEN(B32) &lt;= 50), "Medium", LEN(B32) &gt; 50, "Long")</f>
        <v>Short</v>
      </c>
      <c r="D32" s="14" t="s">
        <v>76</v>
      </c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2</v>
      </c>
      <c r="K32" s="10">
        <f>J32/I11</f>
        <v>6.6666666666666666E-2</v>
      </c>
    </row>
    <row r="33" spans="1:6" x14ac:dyDescent="0.3">
      <c r="A33" s="1">
        <v>242</v>
      </c>
      <c r="B33" s="1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4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" t="s">
        <v>108</v>
      </c>
      <c r="C34" s="13" t="str" cm="1">
        <f t="array" ref="C34">_xlfn.IFS(LEN(B34) &lt;= 25, "Short", AND(LEN(B34) &gt; 25, LEN(B34) &lt;= 50), "Medium", LEN(B34) &gt; 50, "Long")</f>
        <v>Short</v>
      </c>
      <c r="D34" s="14" t="s">
        <v>76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" t="s">
        <v>119</v>
      </c>
      <c r="C35" s="13" t="str" cm="1">
        <f t="array" ref="C35">_xlfn.IFS(LEN(B35) &lt;= 25, "Short", AND(LEN(B35) &gt; 25, LEN(B35) &lt;= 50), "Medium", LEN(B35) &gt; 50, "Long")</f>
        <v>Medium</v>
      </c>
      <c r="D35" s="14" t="s">
        <v>77</v>
      </c>
      <c r="E35" s="1" t="s">
        <v>251</v>
      </c>
      <c r="F35" s="13" t="b">
        <f t="shared" si="0"/>
        <v>0</v>
      </c>
    </row>
    <row r="36" spans="1:6" x14ac:dyDescent="0.3">
      <c r="A36" s="1">
        <v>245</v>
      </c>
      <c r="B36" s="1" t="s">
        <v>172</v>
      </c>
      <c r="C36" s="13" t="str" cm="1">
        <f t="array" ref="C36">_xlfn.IFS(LEN(B36) &lt;= 25, "Short", AND(LEN(B36) &gt; 25, LEN(B36) &lt;= 50), "Medium", LEN(B36) &gt; 50, "Long")</f>
        <v>Medium</v>
      </c>
      <c r="D36" s="14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4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" t="s">
        <v>65</v>
      </c>
      <c r="C38" s="13" t="str" cm="1">
        <f t="array" ref="C38">_xlfn.IFS(LEN(B38) &lt;= 25, "Short", AND(LEN(B38) &gt; 25, LEN(B38) &lt;= 50), "Medium", LEN(B38) &gt; 50, "Long")</f>
        <v>Short</v>
      </c>
      <c r="D38" s="14" t="s">
        <v>77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4" t="s">
        <v>80</v>
      </c>
      <c r="E39" s="1" t="s">
        <v>80</v>
      </c>
      <c r="F39" s="13" t="b">
        <f t="shared" si="0"/>
        <v>1</v>
      </c>
    </row>
    <row r="40" spans="1:6" x14ac:dyDescent="0.3">
      <c r="A40" s="1">
        <v>249</v>
      </c>
      <c r="B40" s="1" t="s">
        <v>142</v>
      </c>
      <c r="C40" s="13" t="str" cm="1">
        <f t="array" ref="C40">_xlfn.IFS(LEN(B40) &lt;= 25, "Short", AND(LEN(B40) &gt; 25, LEN(B40) &lt;= 50), "Medium", LEN(B40) &gt; 50, "Long")</f>
        <v>Short</v>
      </c>
      <c r="D40" s="14" t="s">
        <v>80</v>
      </c>
      <c r="E40" s="1" t="s">
        <v>251</v>
      </c>
      <c r="F40" s="13" t="b">
        <f t="shared" si="0"/>
        <v>0</v>
      </c>
    </row>
    <row r="41" spans="1:6" x14ac:dyDescent="0.3">
      <c r="A41" s="1">
        <v>250</v>
      </c>
      <c r="B41" s="1" t="s">
        <v>129</v>
      </c>
      <c r="C41" s="13" t="str" cm="1">
        <f t="array" ref="C41">_xlfn.IFS(LEN(B41) &lt;= 25, "Short", AND(LEN(B41) &gt; 25, LEN(B41) &lt;= 50), "Medium", LEN(B41) &gt; 50, "Long")</f>
        <v>Medium</v>
      </c>
      <c r="D41" s="14" t="s">
        <v>251</v>
      </c>
      <c r="E41" s="1" t="s">
        <v>251</v>
      </c>
      <c r="F41" s="13" t="b">
        <f t="shared" si="0"/>
        <v>1</v>
      </c>
    </row>
    <row r="42" spans="1:6" x14ac:dyDescent="0.3">
      <c r="A42" s="1">
        <v>251</v>
      </c>
      <c r="B42" s="1" t="s">
        <v>174</v>
      </c>
      <c r="C42" s="13" t="str" cm="1">
        <f t="array" ref="C42">_xlfn.IFS(LEN(B42) &lt;= 25, "Short", AND(LEN(B42) &gt; 25, LEN(B42) &lt;= 50), "Medium", LEN(B42) &gt; 50, "Long")</f>
        <v>Medium</v>
      </c>
      <c r="D42" s="14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" t="s">
        <v>131</v>
      </c>
      <c r="C43" s="13" t="str" cm="1">
        <f t="array" ref="C43">_xlfn.IFS(LEN(B43) &lt;= 25, "Short", AND(LEN(B43) &gt; 25, LEN(B43) &lt;= 50), "Medium", LEN(B43) &gt; 50, "Long")</f>
        <v>Medium</v>
      </c>
      <c r="D43" s="14" t="s">
        <v>77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4" t="s">
        <v>251</v>
      </c>
      <c r="E44" s="1" t="s">
        <v>251</v>
      </c>
      <c r="F44" s="13" t="b">
        <f t="shared" si="0"/>
        <v>1</v>
      </c>
    </row>
    <row r="45" spans="1:6" x14ac:dyDescent="0.3">
      <c r="A45" s="1">
        <v>254</v>
      </c>
      <c r="B45" s="1" t="s">
        <v>104</v>
      </c>
      <c r="C45" s="13" t="str" cm="1">
        <f t="array" ref="C45">_xlfn.IFS(LEN(B45) &lt;= 25, "Short", AND(LEN(B45) &gt; 25, LEN(B45) &lt;= 50), "Medium", LEN(B45) &gt; 50, "Long")</f>
        <v>Medium</v>
      </c>
      <c r="D45" s="14" t="s">
        <v>251</v>
      </c>
      <c r="E45" s="1" t="s">
        <v>251</v>
      </c>
      <c r="F45" s="13" t="b">
        <f t="shared" si="0"/>
        <v>1</v>
      </c>
    </row>
    <row r="46" spans="1:6" x14ac:dyDescent="0.3">
      <c r="A46" s="1">
        <v>255</v>
      </c>
      <c r="B46" s="1" t="s">
        <v>175</v>
      </c>
      <c r="C46" s="13" t="str" cm="1">
        <f t="array" ref="C46">_xlfn.IFS(LEN(B46) &lt;= 25, "Short", AND(LEN(B46) &gt; 25, LEN(B46) &lt;= 50), "Medium", LEN(B46) &gt; 50, "Long")</f>
        <v>Medium</v>
      </c>
      <c r="D46" s="14" t="s">
        <v>77</v>
      </c>
      <c r="E46" s="1" t="s">
        <v>77</v>
      </c>
      <c r="F46" s="13" t="b">
        <f t="shared" si="0"/>
        <v>1</v>
      </c>
    </row>
    <row r="47" spans="1:6" x14ac:dyDescent="0.3">
      <c r="A47" s="1">
        <v>256</v>
      </c>
      <c r="B47" s="1" t="s">
        <v>176</v>
      </c>
      <c r="C47" s="13" t="str" cm="1">
        <f t="array" ref="C47">_xlfn.IFS(LEN(B47) &lt;= 25, "Short", AND(LEN(B47) &gt; 25, LEN(B47) &lt;= 50), "Medium", LEN(B47) &gt; 50, "Long")</f>
        <v>Short</v>
      </c>
      <c r="D47" s="14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" t="s">
        <v>177</v>
      </c>
      <c r="C48" s="13" t="str" cm="1">
        <f t="array" ref="C48">_xlfn.IFS(LEN(B48) &lt;= 25, "Short", AND(LEN(B48) &gt; 25, LEN(B48) &lt;= 50), "Medium", LEN(B48) &gt; 50, "Long")</f>
        <v>Short</v>
      </c>
      <c r="D48" s="14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4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4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4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" t="s">
        <v>16</v>
      </c>
      <c r="C52" s="13" t="str" cm="1">
        <f t="array" ref="C52">_xlfn.IFS(LEN(B52) &lt;= 25, "Short", AND(LEN(B52) &gt; 25, LEN(B52) &lt;= 50), "Medium", LEN(B52) &gt; 50, "Long")</f>
        <v>Short</v>
      </c>
      <c r="D52" s="14" t="s">
        <v>76</v>
      </c>
      <c r="E52" s="1" t="s">
        <v>80</v>
      </c>
      <c r="F52" s="13" t="b">
        <f t="shared" si="0"/>
        <v>0</v>
      </c>
    </row>
    <row r="53" spans="1:6" x14ac:dyDescent="0.3">
      <c r="A53" s="1">
        <v>262</v>
      </c>
      <c r="B53" s="1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4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" t="s">
        <v>43</v>
      </c>
      <c r="C54" s="13" t="str" cm="1">
        <f t="array" ref="C54">_xlfn.IFS(LEN(B54) &lt;= 25, "Short", AND(LEN(B54) &gt; 25, LEN(B54) &lt;= 50), "Medium", LEN(B54) &gt; 50, "Long")</f>
        <v>Short</v>
      </c>
      <c r="D54" s="14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" t="s">
        <v>103</v>
      </c>
      <c r="C55" s="13" t="str" cm="1">
        <f t="array" ref="C55">_xlfn.IFS(LEN(B55) &lt;= 25, "Short", AND(LEN(B55) &gt; 25, LEN(B55) &lt;= 50), "Medium", LEN(B55) &gt; 50, "Long")</f>
        <v>Long</v>
      </c>
      <c r="D55" s="14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4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" t="s">
        <v>178</v>
      </c>
      <c r="C57" s="13" t="str" cm="1">
        <f t="array" ref="C57">_xlfn.IFS(LEN(B57) &lt;= 25, "Short", AND(LEN(B57) &gt; 25, LEN(B57) &lt;= 50), "Medium", LEN(B57) &gt; 50, "Long")</f>
        <v>Medium</v>
      </c>
      <c r="D57" s="14" t="s">
        <v>81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" t="s">
        <v>89</v>
      </c>
      <c r="C58" s="13" t="str" cm="1">
        <f t="array" ref="C58">_xlfn.IFS(LEN(B58) &lt;= 25, "Short", AND(LEN(B58) &gt; 25, LEN(B58) &lt;= 50), "Medium", LEN(B58) &gt; 50, "Long")</f>
        <v>Long</v>
      </c>
      <c r="D58" s="14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4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" t="s">
        <v>101</v>
      </c>
      <c r="C60" s="13" t="str" cm="1">
        <f t="array" ref="C60">_xlfn.IFS(LEN(B60) &lt;= 25, "Short", AND(LEN(B60) &gt; 25, LEN(B60) &lt;= 50), "Medium", LEN(B60) &gt; 50, "Long")</f>
        <v>Medium</v>
      </c>
      <c r="D60" s="14" t="s">
        <v>80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" t="s">
        <v>126</v>
      </c>
      <c r="C61" s="13" t="str" cm="1">
        <f t="array" ref="C61">_xlfn.IFS(LEN(B61) &lt;= 25, "Short", AND(LEN(B61) &gt; 25, LEN(B61) &lt;= 50), "Medium", LEN(B61) &gt; 50, "Long")</f>
        <v>Long</v>
      </c>
      <c r="D61" s="14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" t="s">
        <v>39</v>
      </c>
      <c r="C62" s="13" t="str" cm="1">
        <f t="array" ref="C62">_xlfn.IFS(LEN(B62) &lt;= 25, "Short", AND(LEN(B62) &gt; 25, LEN(B62) &lt;= 50), "Medium", LEN(B62) &gt; 50, "Long")</f>
        <v>Short</v>
      </c>
      <c r="D62" s="14" t="s">
        <v>77</v>
      </c>
      <c r="E62" s="1" t="s">
        <v>81</v>
      </c>
      <c r="F62" s="13" t="b">
        <f t="shared" si="0"/>
        <v>0</v>
      </c>
    </row>
    <row r="63" spans="1:6" x14ac:dyDescent="0.3">
      <c r="A63" s="1">
        <v>272</v>
      </c>
      <c r="B63" s="1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4" t="s">
        <v>80</v>
      </c>
      <c r="E63" s="1" t="s">
        <v>80</v>
      </c>
      <c r="F63" s="13" t="b">
        <f t="shared" si="0"/>
        <v>1</v>
      </c>
    </row>
    <row r="64" spans="1:6" x14ac:dyDescent="0.3">
      <c r="A64" s="1">
        <v>273</v>
      </c>
      <c r="B64" s="1" t="s">
        <v>179</v>
      </c>
      <c r="C64" s="13" t="str" cm="1">
        <f t="array" ref="C64">_xlfn.IFS(LEN(B64) &lt;= 25, "Short", AND(LEN(B64) &gt; 25, LEN(B64) &lt;= 50), "Medium", LEN(B64) &gt; 50, "Long")</f>
        <v>Short</v>
      </c>
      <c r="D64" s="14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" t="s">
        <v>8</v>
      </c>
      <c r="C65" s="13" t="str" cm="1">
        <f t="array" ref="C65">_xlfn.IFS(LEN(B65) &lt;= 25, "Short", AND(LEN(B65) &gt; 25, LEN(B65) &lt;= 50), "Medium", LEN(B65) &gt; 50, "Long")</f>
        <v>Short</v>
      </c>
      <c r="D65" s="14" t="s">
        <v>82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" t="s">
        <v>113</v>
      </c>
      <c r="C66" s="13" t="str" cm="1">
        <f t="array" ref="C66">_xlfn.IFS(LEN(B66) &lt;= 25, "Short", AND(LEN(B66) &gt; 25, LEN(B66) &lt;= 50), "Medium", LEN(B66) &gt; 50, "Long")</f>
        <v>Short</v>
      </c>
      <c r="D66" s="14" t="s">
        <v>77</v>
      </c>
      <c r="E66" s="1" t="s">
        <v>77</v>
      </c>
      <c r="F66" s="13" t="b">
        <f t="shared" si="0"/>
        <v>1</v>
      </c>
    </row>
    <row r="67" spans="1:6" x14ac:dyDescent="0.3">
      <c r="A67" s="1">
        <v>276</v>
      </c>
      <c r="B67" s="1" t="s">
        <v>180</v>
      </c>
      <c r="C67" s="13" t="str" cm="1">
        <f t="array" ref="C67">_xlfn.IFS(LEN(B67) &lt;= 25, "Short", AND(LEN(B67) &gt; 25, LEN(B67) &lt;= 50), "Medium", LEN(B67) &gt; 50, "Long")</f>
        <v>Short</v>
      </c>
      <c r="D67" s="14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" t="s">
        <v>181</v>
      </c>
      <c r="C68" s="13" t="str" cm="1">
        <f t="array" ref="C68">_xlfn.IFS(LEN(B68) &lt;= 25, "Short", AND(LEN(B68) &gt; 25, LEN(B68) &lt;= 50), "Medium", LEN(B68) &gt; 50, "Long")</f>
        <v>Short</v>
      </c>
      <c r="D68" s="14" t="s">
        <v>81</v>
      </c>
      <c r="E68" s="1" t="s">
        <v>81</v>
      </c>
      <c r="F68" s="13" t="b">
        <f t="shared" si="7"/>
        <v>1</v>
      </c>
    </row>
    <row r="69" spans="1:6" x14ac:dyDescent="0.3">
      <c r="A69" s="1">
        <v>278</v>
      </c>
      <c r="B69" s="1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4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" t="s">
        <v>182</v>
      </c>
      <c r="C70" s="13" t="str" cm="1">
        <f t="array" ref="C70">_xlfn.IFS(LEN(B70) &lt;= 25, "Short", AND(LEN(B70) &gt; 25, LEN(B70) &lt;= 50), "Medium", LEN(B70) &gt; 50, "Long")</f>
        <v>Short</v>
      </c>
      <c r="D70" s="14" t="s">
        <v>81</v>
      </c>
      <c r="E70" s="1" t="s">
        <v>251</v>
      </c>
      <c r="F70" s="13" t="b">
        <f t="shared" si="7"/>
        <v>0</v>
      </c>
    </row>
    <row r="71" spans="1:6" x14ac:dyDescent="0.3">
      <c r="A71" s="1">
        <v>280</v>
      </c>
      <c r="B71" s="1" t="s">
        <v>136</v>
      </c>
      <c r="C71" s="13" t="str" cm="1">
        <f t="array" ref="C71">_xlfn.IFS(LEN(B71) &lt;= 25, "Short", AND(LEN(B71) &gt; 25, LEN(B71) &lt;= 50), "Medium", LEN(B71) &gt; 50, "Long")</f>
        <v>Long</v>
      </c>
      <c r="D71" s="14" t="s">
        <v>77</v>
      </c>
      <c r="E71" s="1" t="s">
        <v>77</v>
      </c>
      <c r="F71" s="13" t="b">
        <f t="shared" si="7"/>
        <v>1</v>
      </c>
    </row>
    <row r="72" spans="1:6" x14ac:dyDescent="0.3">
      <c r="A72" s="1">
        <v>281</v>
      </c>
      <c r="B72" s="1" t="s">
        <v>28</v>
      </c>
      <c r="C72" s="13" t="str" cm="1">
        <f t="array" ref="C72">_xlfn.IFS(LEN(B72) &lt;= 25, "Short", AND(LEN(B72) &gt; 25, LEN(B72) &lt;= 50), "Medium", LEN(B72) &gt; 50, "Long")</f>
        <v>Short</v>
      </c>
      <c r="D72" s="14" t="s">
        <v>77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4" t="s">
        <v>251</v>
      </c>
      <c r="E73" s="1" t="s">
        <v>251</v>
      </c>
      <c r="F73" s="13" t="b">
        <f t="shared" si="7"/>
        <v>1</v>
      </c>
    </row>
    <row r="74" spans="1:6" x14ac:dyDescent="0.3">
      <c r="A74" s="1">
        <v>283</v>
      </c>
      <c r="B74" s="1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4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" t="s">
        <v>41</v>
      </c>
      <c r="C75" s="13" t="str" cm="1">
        <f t="array" ref="C75">_xlfn.IFS(LEN(B75) &lt;= 25, "Short", AND(LEN(B75) &gt; 25, LEN(B75) &lt;= 50), "Medium", LEN(B75) &gt; 50, "Long")</f>
        <v>Medium</v>
      </c>
      <c r="D75" s="14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" t="s">
        <v>19</v>
      </c>
      <c r="C76" s="13" t="str" cm="1">
        <f t="array" ref="C76">_xlfn.IFS(LEN(B76) &lt;= 25, "Short", AND(LEN(B76) &gt; 25, LEN(B76) &lt;= 50), "Medium", LEN(B76) &gt; 50, "Long")</f>
        <v>Short</v>
      </c>
      <c r="D76" s="14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4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4" t="s">
        <v>251</v>
      </c>
      <c r="E78" s="1" t="s">
        <v>251</v>
      </c>
      <c r="F78" s="13" t="b">
        <f t="shared" si="7"/>
        <v>1</v>
      </c>
    </row>
    <row r="79" spans="1:6" x14ac:dyDescent="0.3">
      <c r="A79" s="1">
        <v>288</v>
      </c>
      <c r="B79" s="1" t="s">
        <v>24</v>
      </c>
      <c r="C79" s="13" t="str" cm="1">
        <f t="array" ref="C79">_xlfn.IFS(LEN(B79) &lt;= 25, "Short", AND(LEN(B79) &gt; 25, LEN(B79) &lt;= 50), "Medium", LEN(B79) &gt; 50, "Long")</f>
        <v>Short</v>
      </c>
      <c r="D79" s="14" t="s">
        <v>80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" t="s">
        <v>138</v>
      </c>
      <c r="C80" s="13" t="str" cm="1">
        <f t="array" ref="C80">_xlfn.IFS(LEN(B80) &lt;= 25, "Short", AND(LEN(B80) &gt; 25, LEN(B80) &lt;= 50), "Medium", LEN(B80) &gt; 50, "Long")</f>
        <v>Medium</v>
      </c>
      <c r="D80" s="14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" t="s">
        <v>184</v>
      </c>
      <c r="C81" s="13" t="str" cm="1">
        <f t="array" ref="C81">_xlfn.IFS(LEN(B81) &lt;= 25, "Short", AND(LEN(B81) &gt; 25, LEN(B81) &lt;= 50), "Medium", LEN(B81) &gt; 50, "Long")</f>
        <v>Short</v>
      </c>
      <c r="D81" s="14" t="s">
        <v>76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4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4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" t="s">
        <v>27</v>
      </c>
      <c r="C84" s="13" t="str" cm="1">
        <f t="array" ref="C84">_xlfn.IFS(LEN(B84) &lt;= 25, "Short", AND(LEN(B84) &gt; 25, LEN(B84) &lt;= 50), "Medium", LEN(B84) &gt; 50, "Long")</f>
        <v>Short</v>
      </c>
      <c r="D84" s="14" t="s">
        <v>76</v>
      </c>
      <c r="E84" s="1" t="s">
        <v>81</v>
      </c>
      <c r="F84" s="13" t="b">
        <f t="shared" si="7"/>
        <v>0</v>
      </c>
    </row>
    <row r="85" spans="1:6" x14ac:dyDescent="0.3">
      <c r="A85" s="1">
        <v>294</v>
      </c>
      <c r="B85" s="1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4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" t="s">
        <v>186</v>
      </c>
      <c r="C86" s="13" t="str" cm="1">
        <f t="array" ref="C86">_xlfn.IFS(LEN(B86) &lt;= 25, "Short", AND(LEN(B86) &gt; 25, LEN(B86) &lt;= 50), "Medium", LEN(B86) &gt; 50, "Long")</f>
        <v>Short</v>
      </c>
      <c r="D86" s="14" t="s">
        <v>251</v>
      </c>
      <c r="E86" s="1" t="s">
        <v>251</v>
      </c>
      <c r="F86" s="13" t="b">
        <f t="shared" si="7"/>
        <v>1</v>
      </c>
    </row>
    <row r="87" spans="1:6" x14ac:dyDescent="0.3">
      <c r="A87" s="1">
        <v>296</v>
      </c>
      <c r="B87" s="1" t="s">
        <v>116</v>
      </c>
      <c r="C87" s="13" t="str" cm="1">
        <f t="array" ref="C87">_xlfn.IFS(LEN(B87) &lt;= 25, "Short", AND(LEN(B87) &gt; 25, LEN(B87) &lt;= 50), "Medium", LEN(B87) &gt; 50, "Long")</f>
        <v>Short</v>
      </c>
      <c r="D87" s="14" t="s">
        <v>76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" t="s">
        <v>187</v>
      </c>
      <c r="C88" s="13" t="str" cm="1">
        <f t="array" ref="C88">_xlfn.IFS(LEN(B88) &lt;= 25, "Short", AND(LEN(B88) &gt; 25, LEN(B88) &lt;= 50), "Medium", LEN(B88) &gt; 50, "Long")</f>
        <v>Medium</v>
      </c>
      <c r="D88" s="14" t="s">
        <v>76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" t="s">
        <v>188</v>
      </c>
      <c r="C89" s="13" t="str" cm="1">
        <f t="array" ref="C89">_xlfn.IFS(LEN(B89) &lt;= 25, "Short", AND(LEN(B89) &gt; 25, LEN(B89) &lt;= 50), "Medium", LEN(B89) &gt; 50, "Long")</f>
        <v>Medium</v>
      </c>
      <c r="D89" s="14" t="s">
        <v>251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" t="s">
        <v>99</v>
      </c>
      <c r="C90" s="13" t="str" cm="1">
        <f t="array" ref="C90">_xlfn.IFS(LEN(B90) &lt;= 25, "Short", AND(LEN(B90) &gt; 25, LEN(B90) &lt;= 50), "Medium", LEN(B90) &gt; 50, "Long")</f>
        <v>Long</v>
      </c>
      <c r="D90" s="14" t="s">
        <v>251</v>
      </c>
      <c r="E90" s="1" t="s">
        <v>77</v>
      </c>
      <c r="F90" s="13" t="b">
        <f t="shared" si="7"/>
        <v>0</v>
      </c>
    </row>
    <row r="91" spans="1:6" x14ac:dyDescent="0.3">
      <c r="A91" s="1">
        <v>300</v>
      </c>
      <c r="B91" s="1" t="s">
        <v>69</v>
      </c>
      <c r="C91" s="13" t="str" cm="1">
        <f t="array" ref="C91">_xlfn.IFS(LEN(B91) &lt;= 25, "Short", AND(LEN(B91) &gt; 25, LEN(B91) &lt;= 50), "Medium", LEN(B91) &gt; 50, "Long")</f>
        <v>Medium</v>
      </c>
      <c r="D91" s="14" t="s">
        <v>79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4" t="s">
        <v>81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" t="s">
        <v>145</v>
      </c>
      <c r="C93" s="13" t="str" cm="1">
        <f t="array" ref="C93">_xlfn.IFS(LEN(B93) &lt;= 25, "Short", AND(LEN(B93) &gt; 25, LEN(B93) &lt;= 50), "Medium", LEN(B93) &gt; 50, "Long")</f>
        <v>Short</v>
      </c>
      <c r="D93" s="14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" t="s">
        <v>4</v>
      </c>
      <c r="C94" s="13" t="str" cm="1">
        <f t="array" ref="C94">_xlfn.IFS(LEN(B94) &lt;= 25, "Short", AND(LEN(B94) &gt; 25, LEN(B94) &lt;= 50), "Medium", LEN(B94) &gt; 50, "Long")</f>
        <v>Medium</v>
      </c>
      <c r="D94" s="14" t="s">
        <v>79</v>
      </c>
      <c r="E94" s="1" t="s">
        <v>251</v>
      </c>
      <c r="F94" s="13" t="b">
        <f t="shared" si="7"/>
        <v>0</v>
      </c>
    </row>
    <row r="95" spans="1:6" x14ac:dyDescent="0.3">
      <c r="A95" s="1">
        <v>304</v>
      </c>
      <c r="B95" s="1" t="s">
        <v>72</v>
      </c>
      <c r="C95" s="13" t="str" cm="1">
        <f t="array" ref="C95">_xlfn.IFS(LEN(B95) &lt;= 25, "Short", AND(LEN(B95) &gt; 25, LEN(B95) &lt;= 50), "Medium", LEN(B95) &gt; 50, "Long")</f>
        <v>Medium</v>
      </c>
      <c r="D95" s="14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" t="s">
        <v>190</v>
      </c>
      <c r="C96" s="13" t="str" cm="1">
        <f t="array" ref="C96">_xlfn.IFS(LEN(B96) &lt;= 25, "Short", AND(LEN(B96) &gt; 25, LEN(B96) &lt;= 50), "Medium", LEN(B96) &gt; 50, "Long")</f>
        <v>Short</v>
      </c>
      <c r="D96" s="14" t="s">
        <v>251</v>
      </c>
      <c r="E96" s="1" t="s">
        <v>79</v>
      </c>
      <c r="F96" s="13" t="b">
        <f t="shared" si="7"/>
        <v>0</v>
      </c>
    </row>
    <row r="97" spans="1:6" x14ac:dyDescent="0.3">
      <c r="A97" s="1">
        <v>306</v>
      </c>
      <c r="B97" s="1" t="s">
        <v>191</v>
      </c>
      <c r="C97" s="13" t="str" cm="1">
        <f t="array" ref="C97">_xlfn.IFS(LEN(B97) &lt;= 25, "Short", AND(LEN(B97) &gt; 25, LEN(B97) &lt;= 50), "Medium", LEN(B97) &gt; 50, "Long")</f>
        <v>Medium</v>
      </c>
      <c r="D97" s="14" t="s">
        <v>79</v>
      </c>
      <c r="E97" s="1" t="s">
        <v>77</v>
      </c>
      <c r="F97" s="13" t="b">
        <f t="shared" si="7"/>
        <v>0</v>
      </c>
    </row>
    <row r="98" spans="1:6" x14ac:dyDescent="0.3">
      <c r="A98" s="1">
        <v>307</v>
      </c>
      <c r="B98" s="1" t="s">
        <v>192</v>
      </c>
      <c r="C98" s="13" t="str" cm="1">
        <f t="array" ref="C98">_xlfn.IFS(LEN(B98) &lt;= 25, "Short", AND(LEN(B98) &gt; 25, LEN(B98) &lt;= 50), "Medium", LEN(B98) &gt; 50, "Long")</f>
        <v>Medium</v>
      </c>
      <c r="D98" s="14" t="s">
        <v>251</v>
      </c>
      <c r="E98" s="1" t="s">
        <v>80</v>
      </c>
      <c r="F98" s="13" t="b">
        <f t="shared" si="7"/>
        <v>0</v>
      </c>
    </row>
    <row r="99" spans="1:6" x14ac:dyDescent="0.3">
      <c r="A99" s="1">
        <v>308</v>
      </c>
      <c r="B99" s="1" t="s">
        <v>193</v>
      </c>
      <c r="C99" s="13" t="str" cm="1">
        <f t="array" ref="C99">_xlfn.IFS(LEN(B99) &lt;= 25, "Short", AND(LEN(B99) &gt; 25, LEN(B99) &lt;= 50), "Medium", LEN(B99) &gt; 50, "Long")</f>
        <v>Short</v>
      </c>
      <c r="D99" s="14" t="s">
        <v>82</v>
      </c>
      <c r="E99" s="1" t="s">
        <v>251</v>
      </c>
      <c r="F99" s="13" t="b">
        <f t="shared" si="7"/>
        <v>0</v>
      </c>
    </row>
    <row r="100" spans="1:6" x14ac:dyDescent="0.3">
      <c r="A100" s="1">
        <v>309</v>
      </c>
      <c r="B100" s="1" t="s">
        <v>71</v>
      </c>
      <c r="C100" s="13" t="str" cm="1">
        <f t="array" ref="C100">_xlfn.IFS(LEN(B100) &lt;= 25, "Short", AND(LEN(B100) &gt; 25, LEN(B100) &lt;= 50), "Medium", LEN(B100) &gt; 50, "Long")</f>
        <v>Medium</v>
      </c>
      <c r="D100" s="14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" t="s">
        <v>95</v>
      </c>
      <c r="C101" s="13" t="str" cm="1">
        <f t="array" ref="C101">_xlfn.IFS(LEN(B101) &lt;= 25, "Short", AND(LEN(B101) &gt; 25, LEN(B101) &lt;= 50), "Medium", LEN(B101) &gt; 50, "Long")</f>
        <v>Short</v>
      </c>
      <c r="D101" s="14" t="s">
        <v>77</v>
      </c>
      <c r="E101" s="1" t="s">
        <v>80</v>
      </c>
      <c r="F101" s="13" t="b">
        <f t="shared" si="7"/>
        <v>0</v>
      </c>
    </row>
    <row r="102" spans="1:6" x14ac:dyDescent="0.3">
      <c r="A102" s="1">
        <v>311</v>
      </c>
      <c r="B102" s="1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4" t="s">
        <v>81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" t="s">
        <v>127</v>
      </c>
      <c r="C103" s="13" t="str" cm="1">
        <f t="array" ref="C103">_xlfn.IFS(LEN(B103) &lt;= 25, "Short", AND(LEN(B103) &gt; 25, LEN(B103) &lt;= 50), "Medium", LEN(B103) &gt; 50, "Long")</f>
        <v>Short</v>
      </c>
      <c r="D103" s="14" t="s">
        <v>80</v>
      </c>
      <c r="E103" s="1" t="s">
        <v>251</v>
      </c>
      <c r="F103" s="13" t="b">
        <f t="shared" si="7"/>
        <v>0</v>
      </c>
    </row>
    <row r="104" spans="1:6" x14ac:dyDescent="0.3">
      <c r="A104" s="1">
        <v>313</v>
      </c>
      <c r="B104" s="1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4" t="s">
        <v>251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4" t="s">
        <v>82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" t="s">
        <v>195</v>
      </c>
      <c r="C106" s="13" t="str" cm="1">
        <f t="array" ref="C106">_xlfn.IFS(LEN(B106) &lt;= 25, "Short", AND(LEN(B106) &gt; 25, LEN(B106) &lt;= 50), "Medium", LEN(B106) &gt; 50, "Long")</f>
        <v>Medium</v>
      </c>
      <c r="D106" s="14" t="s">
        <v>80</v>
      </c>
      <c r="E106" s="1" t="s">
        <v>79</v>
      </c>
      <c r="F106" s="13" t="b">
        <f t="shared" si="7"/>
        <v>0</v>
      </c>
    </row>
    <row r="107" spans="1:6" x14ac:dyDescent="0.3">
      <c r="A107" s="1">
        <v>316</v>
      </c>
      <c r="B107" s="1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4" t="s">
        <v>80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" t="s">
        <v>36</v>
      </c>
      <c r="C108" s="13" t="str" cm="1">
        <f t="array" ref="C108">_xlfn.IFS(LEN(B108) &lt;= 25, "Short", AND(LEN(B108) &gt; 25, LEN(B108) &lt;= 50), "Medium", LEN(B108) &gt; 50, "Long")</f>
        <v>Medium</v>
      </c>
      <c r="D108" s="14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4" t="s">
        <v>81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" t="s">
        <v>197</v>
      </c>
      <c r="C110" s="13" t="str" cm="1">
        <f t="array" ref="C110">_xlfn.IFS(LEN(B110) &lt;= 25, "Short", AND(LEN(B110) &gt; 25, LEN(B110) &lt;= 50), "Medium", LEN(B110) &gt; 50, "Long")</f>
        <v>Medium</v>
      </c>
      <c r="D110" s="14" t="s">
        <v>251</v>
      </c>
      <c r="E110" s="1" t="s">
        <v>251</v>
      </c>
      <c r="F110" s="13" t="b">
        <f t="shared" si="7"/>
        <v>1</v>
      </c>
    </row>
    <row r="111" spans="1:6" x14ac:dyDescent="0.3">
      <c r="A111" s="1">
        <v>320</v>
      </c>
      <c r="B111" s="1" t="s">
        <v>43</v>
      </c>
      <c r="C111" s="13" t="str" cm="1">
        <f t="array" ref="C111">_xlfn.IFS(LEN(B111) &lt;= 25, "Short", AND(LEN(B111) &gt; 25, LEN(B111) &lt;= 50), "Medium", LEN(B111) &gt; 50, "Long")</f>
        <v>Short</v>
      </c>
      <c r="D111" s="14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4" t="s">
        <v>79</v>
      </c>
      <c r="E112" s="1" t="s">
        <v>77</v>
      </c>
      <c r="F112" s="13" t="b">
        <f t="shared" si="7"/>
        <v>0</v>
      </c>
    </row>
    <row r="113" spans="1:6" x14ac:dyDescent="0.3">
      <c r="A113" s="1">
        <v>322</v>
      </c>
      <c r="B113" s="1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4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4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" t="s">
        <v>198</v>
      </c>
      <c r="C115" s="13" t="str" cm="1">
        <f t="array" ref="C115">_xlfn.IFS(LEN(B115) &lt;= 25, "Short", AND(LEN(B115) &gt; 25, LEN(B115) &lt;= 50), "Medium", LEN(B115) &gt; 50, "Long")</f>
        <v>Short</v>
      </c>
      <c r="D115" s="14" t="s">
        <v>81</v>
      </c>
      <c r="E115" s="1" t="s">
        <v>79</v>
      </c>
      <c r="F115" s="13" t="b">
        <f t="shared" si="7"/>
        <v>0</v>
      </c>
    </row>
    <row r="116" spans="1:6" x14ac:dyDescent="0.3">
      <c r="A116" s="1">
        <v>325</v>
      </c>
      <c r="B116" s="1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4" t="s">
        <v>251</v>
      </c>
      <c r="E116" s="1" t="s">
        <v>251</v>
      </c>
      <c r="F116" s="13" t="b">
        <f t="shared" si="7"/>
        <v>1</v>
      </c>
    </row>
    <row r="117" spans="1:6" x14ac:dyDescent="0.3">
      <c r="A117" s="1">
        <v>326</v>
      </c>
      <c r="B117" s="1" t="s">
        <v>137</v>
      </c>
      <c r="C117" s="13" t="str" cm="1">
        <f t="array" ref="C117">_xlfn.IFS(LEN(B117) &lt;= 25, "Short", AND(LEN(B117) &gt; 25, LEN(B117) &lt;= 50), "Medium", LEN(B117) &gt; 50, "Long")</f>
        <v>Short</v>
      </c>
      <c r="D117" s="14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4" t="s">
        <v>81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" t="s">
        <v>199</v>
      </c>
      <c r="C119" s="13" t="str" cm="1">
        <f t="array" ref="C119">_xlfn.IFS(LEN(B119) &lt;= 25, "Short", AND(LEN(B119) &gt; 25, LEN(B119) &lt;= 50), "Medium", LEN(B119) &gt; 50, "Long")</f>
        <v>Medium</v>
      </c>
      <c r="D119" s="14" t="s">
        <v>79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4" t="s">
        <v>77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4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" t="s">
        <v>200</v>
      </c>
      <c r="C122" s="13" t="str" cm="1">
        <f t="array" ref="C122">_xlfn.IFS(LEN(B122) &lt;= 25, "Short", AND(LEN(B122) &gt; 25, LEN(B122) &lt;= 50), "Medium", LEN(B122) &gt; 50, "Long")</f>
        <v>Short</v>
      </c>
      <c r="D122" s="14" t="s">
        <v>81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" t="s">
        <v>201</v>
      </c>
      <c r="C123" s="13" t="str" cm="1">
        <f t="array" ref="C123">_xlfn.IFS(LEN(B123) &lt;= 25, "Short", AND(LEN(B123) &gt; 25, LEN(B123) &lt;= 50), "Medium", LEN(B123) &gt; 50, "Long")</f>
        <v>Short</v>
      </c>
      <c r="D123" s="14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" t="s">
        <v>29</v>
      </c>
      <c r="C124" s="13" t="str" cm="1">
        <f t="array" ref="C124">_xlfn.IFS(LEN(B124) &lt;= 25, "Short", AND(LEN(B124) &gt; 25, LEN(B124) &lt;= 50), "Medium", LEN(B124) &gt; 50, "Long")</f>
        <v>Medium</v>
      </c>
      <c r="D124" s="14" t="s">
        <v>77</v>
      </c>
      <c r="E124" s="1" t="s">
        <v>79</v>
      </c>
      <c r="F124" s="13" t="b">
        <f t="shared" si="7"/>
        <v>0</v>
      </c>
    </row>
    <row r="125" spans="1:6" x14ac:dyDescent="0.3">
      <c r="A125" s="1">
        <v>334</v>
      </c>
      <c r="B125" s="1" t="s">
        <v>202</v>
      </c>
      <c r="C125" s="13" t="str" cm="1">
        <f t="array" ref="C125">_xlfn.IFS(LEN(B125) &lt;= 25, "Short", AND(LEN(B125) &gt; 25, LEN(B125) &lt;= 50), "Medium", LEN(B125) &gt; 50, "Long")</f>
        <v>Short</v>
      </c>
      <c r="D125" s="14" t="s">
        <v>81</v>
      </c>
      <c r="E125" s="1" t="s">
        <v>82</v>
      </c>
      <c r="F125" s="13" t="b">
        <f t="shared" si="7"/>
        <v>0</v>
      </c>
    </row>
    <row r="126" spans="1:6" x14ac:dyDescent="0.3">
      <c r="A126" s="1">
        <v>335</v>
      </c>
      <c r="B126" s="1" t="s">
        <v>98</v>
      </c>
      <c r="C126" s="13" t="str" cm="1">
        <f t="array" ref="C126">_xlfn.IFS(LEN(B126) &lt;= 25, "Short", AND(LEN(B126) &gt; 25, LEN(B126) &lt;= 50), "Medium", LEN(B126) &gt; 50, "Long")</f>
        <v>Short</v>
      </c>
      <c r="D126" s="14" t="s">
        <v>76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" t="s">
        <v>154</v>
      </c>
      <c r="C127" s="13" t="str" cm="1">
        <f t="array" ref="C127">_xlfn.IFS(LEN(B127) &lt;= 25, "Short", AND(LEN(B127) &gt; 25, LEN(B127) &lt;= 50), "Medium", LEN(B127) &gt; 50, "Long")</f>
        <v>Medium</v>
      </c>
      <c r="D127" s="14" t="s">
        <v>251</v>
      </c>
      <c r="E127" s="1" t="s">
        <v>80</v>
      </c>
      <c r="F127" s="13" t="b">
        <f t="shared" si="7"/>
        <v>0</v>
      </c>
    </row>
    <row r="128" spans="1:6" x14ac:dyDescent="0.3">
      <c r="A128" s="1">
        <v>337</v>
      </c>
      <c r="B128" s="1" t="s">
        <v>135</v>
      </c>
      <c r="C128" s="13" t="str" cm="1">
        <f t="array" ref="C128">_xlfn.IFS(LEN(B128) &lt;= 25, "Short", AND(LEN(B128) &gt; 25, LEN(B128) &lt;= 50), "Medium", LEN(B128) &gt; 50, "Long")</f>
        <v>Short</v>
      </c>
      <c r="D128" s="14" t="s">
        <v>79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4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4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4" t="s">
        <v>77</v>
      </c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" t="s">
        <v>120</v>
      </c>
      <c r="C132" s="13" t="str" cm="1">
        <f t="array" ref="C132">_xlfn.IFS(LEN(B132) &lt;= 25, "Short", AND(LEN(B132) &gt; 25, LEN(B132) &lt;= 50), "Medium", LEN(B132) &gt; 50, "Long")</f>
        <v>Short</v>
      </c>
      <c r="D132" s="14" t="s">
        <v>79</v>
      </c>
      <c r="E132" s="1" t="s">
        <v>81</v>
      </c>
      <c r="F132" s="13" t="b">
        <f t="shared" si="8"/>
        <v>0</v>
      </c>
    </row>
    <row r="133" spans="1:6" x14ac:dyDescent="0.3">
      <c r="A133" s="1">
        <v>342</v>
      </c>
      <c r="B133" s="1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4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" t="s">
        <v>205</v>
      </c>
      <c r="C134" s="13" t="str" cm="1">
        <f t="array" ref="C134">_xlfn.IFS(LEN(B134) &lt;= 25, "Short", AND(LEN(B134) &gt; 25, LEN(B134) &lt;= 50), "Medium", LEN(B134) &gt; 50, "Long")</f>
        <v>Medium</v>
      </c>
      <c r="D134" s="14" t="s">
        <v>76</v>
      </c>
      <c r="E134" s="1" t="s">
        <v>251</v>
      </c>
      <c r="F134" s="13" t="b">
        <f t="shared" si="8"/>
        <v>0</v>
      </c>
    </row>
    <row r="135" spans="1:6" x14ac:dyDescent="0.3">
      <c r="A135" s="1">
        <v>344</v>
      </c>
      <c r="B135" s="1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4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" t="s">
        <v>56</v>
      </c>
      <c r="C136" s="13" t="str" cm="1">
        <f t="array" ref="C136">_xlfn.IFS(LEN(B136) &lt;= 25, "Short", AND(LEN(B136) &gt; 25, LEN(B136) &lt;= 50), "Medium", LEN(B136) &gt; 50, "Long")</f>
        <v>Short</v>
      </c>
      <c r="D136" s="14" t="s">
        <v>77</v>
      </c>
      <c r="E136" s="1" t="s">
        <v>77</v>
      </c>
      <c r="F136" s="13" t="b">
        <f t="shared" si="8"/>
        <v>1</v>
      </c>
    </row>
    <row r="137" spans="1:6" x14ac:dyDescent="0.3">
      <c r="A137" s="1">
        <v>346</v>
      </c>
      <c r="B137" s="1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4" t="s">
        <v>251</v>
      </c>
      <c r="E137" s="1" t="s">
        <v>81</v>
      </c>
      <c r="F137" s="13" t="b">
        <f t="shared" si="8"/>
        <v>0</v>
      </c>
    </row>
    <row r="138" spans="1:6" x14ac:dyDescent="0.3">
      <c r="A138" s="1">
        <v>347</v>
      </c>
      <c r="B138" s="1" t="s">
        <v>155</v>
      </c>
      <c r="C138" s="13" t="str" cm="1">
        <f t="array" ref="C138">_xlfn.IFS(LEN(B138) &lt;= 25, "Short", AND(LEN(B138) &gt; 25, LEN(B138) &lt;= 50), "Medium", LEN(B138) &gt; 50, "Long")</f>
        <v>Long</v>
      </c>
      <c r="D138" s="14" t="s">
        <v>76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" t="s">
        <v>102</v>
      </c>
      <c r="C139" s="13" t="str" cm="1">
        <f t="array" ref="C139">_xlfn.IFS(LEN(B139) &lt;= 25, "Short", AND(LEN(B139) &gt; 25, LEN(B139) &lt;= 50), "Medium", LEN(B139) &gt; 50, "Long")</f>
        <v>Short</v>
      </c>
      <c r="D139" s="14" t="s">
        <v>76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" t="s">
        <v>38</v>
      </c>
      <c r="C140" s="13" t="str" cm="1">
        <f t="array" ref="C140">_xlfn.IFS(LEN(B140) &lt;= 25, "Short", AND(LEN(B140) &gt; 25, LEN(B140) &lt;= 50), "Medium", LEN(B140) &gt; 50, "Long")</f>
        <v>Short</v>
      </c>
      <c r="D140" s="14" t="s">
        <v>77</v>
      </c>
      <c r="E140" s="1" t="s">
        <v>80</v>
      </c>
      <c r="F140" s="13" t="b">
        <f t="shared" si="8"/>
        <v>0</v>
      </c>
    </row>
    <row r="141" spans="1:6" x14ac:dyDescent="0.3">
      <c r="A141" s="1">
        <v>350</v>
      </c>
      <c r="B141" s="1" t="s">
        <v>18</v>
      </c>
      <c r="C141" s="13" t="str" cm="1">
        <f t="array" ref="C141">_xlfn.IFS(LEN(B141) &lt;= 25, "Short", AND(LEN(B141) &gt; 25, LEN(B141) &lt;= 50), "Medium", LEN(B141) &gt; 50, "Long")</f>
        <v>Medium</v>
      </c>
      <c r="D141" s="14" t="s">
        <v>251</v>
      </c>
      <c r="E141" s="1" t="s">
        <v>79</v>
      </c>
      <c r="F141" s="13" t="b">
        <f t="shared" si="8"/>
        <v>0</v>
      </c>
    </row>
    <row r="142" spans="1:6" x14ac:dyDescent="0.3">
      <c r="A142" s="1">
        <v>351</v>
      </c>
      <c r="B142" s="1" t="s">
        <v>57</v>
      </c>
      <c r="C142" s="13" t="str" cm="1">
        <f t="array" ref="C142">_xlfn.IFS(LEN(B142) &lt;= 25, "Short", AND(LEN(B142) &gt; 25, LEN(B142) &lt;= 50), "Medium", LEN(B142) &gt; 50, "Long")</f>
        <v>Long</v>
      </c>
      <c r="D142" s="14" t="s">
        <v>251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" t="s">
        <v>70</v>
      </c>
      <c r="C143" s="13" t="str" cm="1">
        <f t="array" ref="C143">_xlfn.IFS(LEN(B143) &lt;= 25, "Short", AND(LEN(B143) &gt; 25, LEN(B143) &lt;= 50), "Medium", LEN(B143) &gt; 50, "Long")</f>
        <v>Long</v>
      </c>
      <c r="D143" s="14" t="s">
        <v>80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" t="s">
        <v>207</v>
      </c>
      <c r="C144" s="13" t="str" cm="1">
        <f t="array" ref="C144">_xlfn.IFS(LEN(B144) &lt;= 25, "Short", AND(LEN(B144) &gt; 25, LEN(B144) &lt;= 50), "Medium", LEN(B144) &gt; 50, "Long")</f>
        <v>Long</v>
      </c>
      <c r="D144" s="14" t="s">
        <v>76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4" t="s">
        <v>251</v>
      </c>
      <c r="E145" s="1" t="s">
        <v>76</v>
      </c>
      <c r="F145" s="13" t="b">
        <f t="shared" si="8"/>
        <v>0</v>
      </c>
    </row>
    <row r="146" spans="1:6" x14ac:dyDescent="0.3">
      <c r="A146" s="1">
        <v>355</v>
      </c>
      <c r="B146" s="1" t="s">
        <v>208</v>
      </c>
      <c r="C146" s="13" t="str" cm="1">
        <f t="array" ref="C146">_xlfn.IFS(LEN(B146) &lt;= 25, "Short", AND(LEN(B146) &gt; 25, LEN(B146) &lt;= 50), "Medium", LEN(B146) &gt; 50, "Long")</f>
        <v>Medium</v>
      </c>
      <c r="D146" s="14" t="s">
        <v>79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4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4" t="s">
        <v>79</v>
      </c>
      <c r="E148" s="1" t="s">
        <v>79</v>
      </c>
      <c r="F148" s="13" t="b">
        <f t="shared" si="8"/>
        <v>1</v>
      </c>
    </row>
    <row r="149" spans="1:6" x14ac:dyDescent="0.3">
      <c r="A149" s="1">
        <v>358</v>
      </c>
      <c r="B149" s="1" t="s">
        <v>25</v>
      </c>
      <c r="C149" s="13" t="str" cm="1">
        <f t="array" ref="C149">_xlfn.IFS(LEN(B149) &lt;= 25, "Short", AND(LEN(B149) &gt; 25, LEN(B149) &lt;= 50), "Medium", LEN(B149) &gt; 50, "Long")</f>
        <v>Short</v>
      </c>
      <c r="D149" s="14" t="s">
        <v>251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4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" t="s">
        <v>5</v>
      </c>
      <c r="C151" s="13" t="str" cm="1">
        <f t="array" ref="C151">_xlfn.IFS(LEN(B151) &lt;= 25, "Short", AND(LEN(B151) &gt; 25, LEN(B151) &lt;= 50), "Medium", LEN(B151) &gt; 50, "Long")</f>
        <v>Short</v>
      </c>
      <c r="D151" s="14" t="s">
        <v>77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4" t="s">
        <v>79</v>
      </c>
      <c r="E152" s="1" t="s">
        <v>81</v>
      </c>
      <c r="F152" s="13" t="b">
        <f t="shared" si="8"/>
        <v>0</v>
      </c>
    </row>
    <row r="153" spans="1:6" x14ac:dyDescent="0.3">
      <c r="A153" s="1">
        <v>362</v>
      </c>
      <c r="B153" s="1" t="s">
        <v>10</v>
      </c>
      <c r="C153" s="13" t="str" cm="1">
        <f t="array" ref="C153">_xlfn.IFS(LEN(B153) &lt;= 25, "Short", AND(LEN(B153) &gt; 25, LEN(B153) &lt;= 50), "Medium", LEN(B153) &gt; 50, "Long")</f>
        <v>Short</v>
      </c>
      <c r="D153" s="14" t="s">
        <v>251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4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" t="s">
        <v>118</v>
      </c>
      <c r="C155" s="13" t="str" cm="1">
        <f t="array" ref="C155">_xlfn.IFS(LEN(B155) &lt;= 25, "Short", AND(LEN(B155) &gt; 25, LEN(B155) &lt;= 50), "Medium", LEN(B155) &gt; 50, "Long")</f>
        <v>Medium</v>
      </c>
      <c r="D155" s="14" t="s">
        <v>251</v>
      </c>
      <c r="E155" s="1" t="s">
        <v>79</v>
      </c>
      <c r="F155" s="13" t="b">
        <f t="shared" si="8"/>
        <v>0</v>
      </c>
    </row>
    <row r="156" spans="1:6" x14ac:dyDescent="0.3">
      <c r="A156" s="1">
        <v>365</v>
      </c>
      <c r="B156" s="1" t="s">
        <v>209</v>
      </c>
      <c r="C156" s="13" t="str" cm="1">
        <f t="array" ref="C156">_xlfn.IFS(LEN(B156) &lt;= 25, "Short", AND(LEN(B156) &gt; 25, LEN(B156) &lt;= 50), "Medium", LEN(B156) &gt; 50, "Long")</f>
        <v>Short</v>
      </c>
      <c r="D156" s="14" t="s">
        <v>251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4" t="s">
        <v>251</v>
      </c>
      <c r="E157" s="1" t="s">
        <v>251</v>
      </c>
      <c r="F157" s="13" t="b">
        <f t="shared" si="8"/>
        <v>1</v>
      </c>
    </row>
    <row r="158" spans="1:6" x14ac:dyDescent="0.3">
      <c r="A158" s="1">
        <v>367</v>
      </c>
      <c r="B158" s="1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4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4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4" t="s">
        <v>80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4" t="s">
        <v>79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" t="s">
        <v>141</v>
      </c>
      <c r="C162" s="13" t="str" cm="1">
        <f t="array" ref="C162">_xlfn.IFS(LEN(B162) &lt;= 25, "Short", AND(LEN(B162) &gt; 25, LEN(B162) &lt;= 50), "Medium", LEN(B162) &gt; 50, "Long")</f>
        <v>Medium</v>
      </c>
      <c r="D162" s="14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4" t="s">
        <v>251</v>
      </c>
      <c r="E163" s="1" t="s">
        <v>251</v>
      </c>
      <c r="F163" s="13" t="b">
        <f t="shared" si="8"/>
        <v>1</v>
      </c>
    </row>
    <row r="164" spans="1:6" x14ac:dyDescent="0.3">
      <c r="A164" s="1">
        <v>373</v>
      </c>
      <c r="B164" s="1" t="s">
        <v>132</v>
      </c>
      <c r="C164" s="13" t="str" cm="1">
        <f t="array" ref="C164">_xlfn.IFS(LEN(B164) &lt;= 25, "Short", AND(LEN(B164) &gt; 25, LEN(B164) &lt;= 50), "Medium", LEN(B164) &gt; 50, "Long")</f>
        <v>Short</v>
      </c>
      <c r="D164" s="14" t="s">
        <v>77</v>
      </c>
      <c r="E164" s="1" t="s">
        <v>79</v>
      </c>
      <c r="F164" s="13" t="b">
        <f t="shared" si="8"/>
        <v>0</v>
      </c>
    </row>
    <row r="165" spans="1:6" x14ac:dyDescent="0.3">
      <c r="A165" s="1">
        <v>374</v>
      </c>
      <c r="B165" s="1" t="s">
        <v>61</v>
      </c>
      <c r="C165" s="13" t="str" cm="1">
        <f t="array" ref="C165">_xlfn.IFS(LEN(B165) &lt;= 25, "Short", AND(LEN(B165) &gt; 25, LEN(B165) &lt;= 50), "Medium", LEN(B165) &gt; 50, "Long")</f>
        <v>Short</v>
      </c>
      <c r="D165" s="14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" t="s">
        <v>93</v>
      </c>
      <c r="C166" s="13" t="str" cm="1">
        <f t="array" ref="C166">_xlfn.IFS(LEN(B166) &lt;= 25, "Short", AND(LEN(B166) &gt; 25, LEN(B166) &lt;= 50), "Medium", LEN(B166) &gt; 50, "Long")</f>
        <v>Short</v>
      </c>
      <c r="D166" s="14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" t="s">
        <v>53</v>
      </c>
      <c r="C167" s="13" t="str" cm="1">
        <f t="array" ref="C167">_xlfn.IFS(LEN(B167) &lt;= 25, "Short", AND(LEN(B167) &gt; 25, LEN(B167) &lt;= 50), "Medium", LEN(B167) &gt; 50, "Long")</f>
        <v>Long</v>
      </c>
      <c r="D167" s="14" t="s">
        <v>76</v>
      </c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4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" t="s">
        <v>213</v>
      </c>
      <c r="C169" s="13" t="str" cm="1">
        <f t="array" ref="C169">_xlfn.IFS(LEN(B169) &lt;= 25, "Short", AND(LEN(B169) &gt; 25, LEN(B169) &lt;= 50), "Medium", LEN(B169) &gt; 50, "Long")</f>
        <v>Short</v>
      </c>
      <c r="D169" s="14" t="s">
        <v>76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" t="s">
        <v>214</v>
      </c>
      <c r="C170" s="13" t="str" cm="1">
        <f t="array" ref="C170">_xlfn.IFS(LEN(B170) &lt;= 25, "Short", AND(LEN(B170) &gt; 25, LEN(B170) &lt;= 50), "Medium", LEN(B170) &gt; 50, "Long")</f>
        <v>Short</v>
      </c>
      <c r="D170" s="14" t="s">
        <v>76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" t="s">
        <v>128</v>
      </c>
      <c r="C171" s="13" t="str" cm="1">
        <f t="array" ref="C171">_xlfn.IFS(LEN(B171) &lt;= 25, "Short", AND(LEN(B171) &gt; 25, LEN(B171) &lt;= 50), "Medium", LEN(B171) &gt; 50, "Long")</f>
        <v>Short</v>
      </c>
      <c r="D171" s="14" t="s">
        <v>76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" t="s">
        <v>215</v>
      </c>
      <c r="C172" s="13" t="str" cm="1">
        <f t="array" ref="C172">_xlfn.IFS(LEN(B172) &lt;= 25, "Short", AND(LEN(B172) &gt; 25, LEN(B172) &lt;= 50), "Medium", LEN(B172) &gt; 50, "Long")</f>
        <v>Short</v>
      </c>
      <c r="D172" s="14" t="s">
        <v>76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4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" t="s">
        <v>144</v>
      </c>
      <c r="C174" s="13" t="str" cm="1">
        <f t="array" ref="C174">_xlfn.IFS(LEN(B174) &lt;= 25, "Short", AND(LEN(B174) &gt; 25, LEN(B174) &lt;= 50), "Medium", LEN(B174) &gt; 50, "Long")</f>
        <v>Short</v>
      </c>
      <c r="D174" s="14" t="s">
        <v>79</v>
      </c>
      <c r="E174" s="1" t="s">
        <v>81</v>
      </c>
      <c r="F174" s="13" t="b">
        <f t="shared" si="8"/>
        <v>0</v>
      </c>
    </row>
    <row r="175" spans="1:6" x14ac:dyDescent="0.3">
      <c r="A175" s="1">
        <v>384</v>
      </c>
      <c r="B175" s="1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4" t="s">
        <v>77</v>
      </c>
      <c r="E175" s="1" t="s">
        <v>80</v>
      </c>
      <c r="F175" s="13" t="b">
        <f t="shared" si="8"/>
        <v>0</v>
      </c>
    </row>
    <row r="176" spans="1:6" x14ac:dyDescent="0.3">
      <c r="A176" s="1">
        <v>385</v>
      </c>
      <c r="B176" s="1" t="s">
        <v>146</v>
      </c>
      <c r="C176" s="13" t="str" cm="1">
        <f t="array" ref="C176">_xlfn.IFS(LEN(B176) &lt;= 25, "Short", AND(LEN(B176) &gt; 25, LEN(B176) &lt;= 50), "Medium", LEN(B176) &gt; 50, "Long")</f>
        <v>Medium</v>
      </c>
      <c r="D176" s="14" t="s">
        <v>82</v>
      </c>
      <c r="E176" s="1" t="s">
        <v>77</v>
      </c>
      <c r="F176" s="13" t="b">
        <f t="shared" si="8"/>
        <v>0</v>
      </c>
    </row>
    <row r="177" spans="1:6" x14ac:dyDescent="0.3">
      <c r="A177" s="1">
        <v>386</v>
      </c>
      <c r="B177" s="1" t="s">
        <v>73</v>
      </c>
      <c r="C177" s="13" t="str" cm="1">
        <f t="array" ref="C177">_xlfn.IFS(LEN(B177) &lt;= 25, "Short", AND(LEN(B177) &gt; 25, LEN(B177) &lt;= 50), "Medium", LEN(B177) &gt; 50, "Long")</f>
        <v>Short</v>
      </c>
      <c r="D177" s="14" t="s">
        <v>251</v>
      </c>
      <c r="E177" s="1" t="s">
        <v>76</v>
      </c>
      <c r="F177" s="13" t="b">
        <f t="shared" si="8"/>
        <v>0</v>
      </c>
    </row>
    <row r="178" spans="1:6" x14ac:dyDescent="0.3">
      <c r="A178" s="1">
        <v>387</v>
      </c>
      <c r="B178" s="1" t="s">
        <v>217</v>
      </c>
      <c r="C178" s="13" t="str" cm="1">
        <f t="array" ref="C178">_xlfn.IFS(LEN(B178) &lt;= 25, "Short", AND(LEN(B178) &gt; 25, LEN(B178) &lt;= 50), "Medium", LEN(B178) &gt; 50, "Long")</f>
        <v>Short</v>
      </c>
      <c r="D178" s="14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" t="s">
        <v>30</v>
      </c>
      <c r="C179" s="13" t="str" cm="1">
        <f t="array" ref="C179">_xlfn.IFS(LEN(B179) &lt;= 25, "Short", AND(LEN(B179) &gt; 25, LEN(B179) &lt;= 50), "Medium", LEN(B179) &gt; 50, "Long")</f>
        <v>Medium</v>
      </c>
      <c r="D179" s="14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4" t="s">
        <v>251</v>
      </c>
      <c r="E180" s="1" t="s">
        <v>251</v>
      </c>
      <c r="F180" s="13" t="b">
        <f t="shared" si="8"/>
        <v>1</v>
      </c>
    </row>
    <row r="181" spans="1:6" x14ac:dyDescent="0.3">
      <c r="A181" s="1">
        <v>390</v>
      </c>
      <c r="B181" s="1" t="s">
        <v>7</v>
      </c>
      <c r="C181" s="13" t="str" cm="1">
        <f t="array" ref="C181">_xlfn.IFS(LEN(B181) &lt;= 25, "Short", AND(LEN(B181) &gt; 25, LEN(B181) &lt;= 50), "Medium", LEN(B181) &gt; 50, "Long")</f>
        <v>Short</v>
      </c>
      <c r="D181" s="14" t="s">
        <v>76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" t="s">
        <v>17</v>
      </c>
      <c r="C182" s="13" t="str" cm="1">
        <f t="array" ref="C182">_xlfn.IFS(LEN(B182) &lt;= 25, "Short", AND(LEN(B182) &gt; 25, LEN(B182) &lt;= 50), "Medium", LEN(B182) &gt; 50, "Long")</f>
        <v>Short</v>
      </c>
      <c r="D182" s="14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" t="s">
        <v>66</v>
      </c>
      <c r="C183" s="13" t="str" cm="1">
        <f t="array" ref="C183">_xlfn.IFS(LEN(B183) &lt;= 25, "Short", AND(LEN(B183) &gt; 25, LEN(B183) &lt;= 50), "Medium", LEN(B183) &gt; 50, "Long")</f>
        <v>Medium</v>
      </c>
      <c r="D183" s="14" t="s">
        <v>80</v>
      </c>
      <c r="E183" s="1" t="s">
        <v>251</v>
      </c>
      <c r="F183" s="13" t="b">
        <f t="shared" si="8"/>
        <v>0</v>
      </c>
    </row>
    <row r="184" spans="1:6" x14ac:dyDescent="0.3">
      <c r="A184" s="1">
        <v>393</v>
      </c>
      <c r="B184" s="1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4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" t="s">
        <v>134</v>
      </c>
      <c r="C185" s="13" t="str" cm="1">
        <f t="array" ref="C185">_xlfn.IFS(LEN(B185) &lt;= 25, "Short", AND(LEN(B185) &gt; 25, LEN(B185) &lt;= 50), "Medium", LEN(B185) &gt; 50, "Long")</f>
        <v>Medium</v>
      </c>
      <c r="D185" s="14" t="s">
        <v>251</v>
      </c>
      <c r="E185" s="1" t="s">
        <v>251</v>
      </c>
      <c r="F185" s="13" t="b">
        <f t="shared" si="8"/>
        <v>1</v>
      </c>
    </row>
    <row r="186" spans="1:6" x14ac:dyDescent="0.3">
      <c r="A186" s="1">
        <v>395</v>
      </c>
      <c r="B186" s="1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4" t="s">
        <v>251</v>
      </c>
      <c r="E186" s="1" t="s">
        <v>79</v>
      </c>
      <c r="F186" s="13" t="b">
        <f t="shared" si="8"/>
        <v>0</v>
      </c>
    </row>
    <row r="187" spans="1:6" x14ac:dyDescent="0.3">
      <c r="A187" s="1">
        <v>396</v>
      </c>
      <c r="B187" s="1" t="s">
        <v>90</v>
      </c>
      <c r="C187" s="13" t="str" cm="1">
        <f t="array" ref="C187">_xlfn.IFS(LEN(B187) &lt;= 25, "Short", AND(LEN(B187) &gt; 25, LEN(B187) &lt;= 50), "Medium", LEN(B187) &gt; 50, "Long")</f>
        <v>Medium</v>
      </c>
      <c r="D187" s="14" t="s">
        <v>79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4" t="s">
        <v>251</v>
      </c>
      <c r="E188" s="1" t="s">
        <v>251</v>
      </c>
      <c r="F188" s="13" t="b">
        <f t="shared" si="8"/>
        <v>1</v>
      </c>
    </row>
    <row r="189" spans="1:6" x14ac:dyDescent="0.3">
      <c r="A189" s="1">
        <v>398</v>
      </c>
      <c r="B189" s="1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4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" t="s">
        <v>59</v>
      </c>
      <c r="C190" s="13" t="str" cm="1">
        <f t="array" ref="C190">_xlfn.IFS(LEN(B190) &lt;= 25, "Short", AND(LEN(B190) &gt; 25, LEN(B190) &lt;= 50), "Medium", LEN(B190) &gt; 50, "Long")</f>
        <v>Medium</v>
      </c>
      <c r="D190" s="14" t="s">
        <v>81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" t="s">
        <v>45</v>
      </c>
      <c r="C191" s="13" t="str" cm="1">
        <f t="array" ref="C191">_xlfn.IFS(LEN(B191) &lt;= 25, "Short", AND(LEN(B191) &gt; 25, LEN(B191) &lt;= 50), "Medium", LEN(B191) &gt; 50, "Long")</f>
        <v>Short</v>
      </c>
      <c r="D191" s="14" t="s">
        <v>251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" t="s">
        <v>88</v>
      </c>
      <c r="C192" s="13" t="str" cm="1">
        <f t="array" ref="C192">_xlfn.IFS(LEN(B192) &lt;= 25, "Short", AND(LEN(B192) &gt; 25, LEN(B192) &lt;= 50), "Medium", LEN(B192) &gt; 50, "Long")</f>
        <v>Short</v>
      </c>
      <c r="D192" s="14" t="s">
        <v>82</v>
      </c>
      <c r="E192" s="1" t="s">
        <v>82</v>
      </c>
      <c r="F192" s="13" t="b">
        <f t="shared" si="8"/>
        <v>1</v>
      </c>
    </row>
    <row r="193" spans="1:6" x14ac:dyDescent="0.3">
      <c r="A193" s="1">
        <v>402</v>
      </c>
      <c r="B193" s="1" t="s">
        <v>150</v>
      </c>
      <c r="C193" s="13" t="str" cm="1">
        <f t="array" ref="C193">_xlfn.IFS(LEN(B193) &lt;= 25, "Short", AND(LEN(B193) &gt; 25, LEN(B193) &lt;= 50), "Medium", LEN(B193) &gt; 50, "Long")</f>
        <v>Short</v>
      </c>
      <c r="D193" s="14" t="s">
        <v>76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" t="s">
        <v>221</v>
      </c>
      <c r="C194" s="13" t="str" cm="1">
        <f t="array" ref="C194">_xlfn.IFS(LEN(B194) &lt;= 25, "Short", AND(LEN(B194) &gt; 25, LEN(B194) &lt;= 50), "Medium", LEN(B194) &gt; 50, "Long")</f>
        <v>Long</v>
      </c>
      <c r="D194" s="14" t="s">
        <v>79</v>
      </c>
      <c r="E194" s="1" t="s">
        <v>81</v>
      </c>
      <c r="F194" s="13" t="b">
        <f t="shared" si="8"/>
        <v>0</v>
      </c>
    </row>
    <row r="195" spans="1:6" x14ac:dyDescent="0.3">
      <c r="A195" s="1">
        <v>404</v>
      </c>
      <c r="B195" s="1" t="s">
        <v>222</v>
      </c>
      <c r="C195" s="13" t="str" cm="1">
        <f t="array" ref="C195">_xlfn.IFS(LEN(B195) &lt;= 25, "Short", AND(LEN(B195) &gt; 25, LEN(B195) &lt;= 50), "Medium", LEN(B195) &gt; 50, "Long")</f>
        <v>Medium</v>
      </c>
      <c r="D195" s="14" t="s">
        <v>251</v>
      </c>
      <c r="E195" s="1" t="s">
        <v>251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4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4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4" t="s">
        <v>82</v>
      </c>
      <c r="E198" s="1" t="s">
        <v>251</v>
      </c>
      <c r="F198" s="13" t="b">
        <f t="shared" si="9"/>
        <v>0</v>
      </c>
    </row>
    <row r="199" spans="1:6" x14ac:dyDescent="0.3">
      <c r="A199" s="1">
        <v>408</v>
      </c>
      <c r="B199" s="1" t="s">
        <v>6</v>
      </c>
      <c r="C199" s="13" t="str" cm="1">
        <f t="array" ref="C199">_xlfn.IFS(LEN(B199) &lt;= 25, "Short", AND(LEN(B199) &gt; 25, LEN(B199) &lt;= 50), "Medium", LEN(B199) &gt; 50, "Long")</f>
        <v>Short</v>
      </c>
      <c r="D199" s="14" t="s">
        <v>77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" t="s">
        <v>225</v>
      </c>
      <c r="C200" s="13" t="str" cm="1">
        <f t="array" ref="C200">_xlfn.IFS(LEN(B200) &lt;= 25, "Short", AND(LEN(B200) &gt; 25, LEN(B200) &lt;= 50), "Medium", LEN(B200) &gt; 50, "Long")</f>
        <v>Medium</v>
      </c>
      <c r="D200" s="14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4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" t="s">
        <v>143</v>
      </c>
      <c r="C202" s="13" t="str" cm="1">
        <f t="array" ref="C202">_xlfn.IFS(LEN(B202) &lt;= 25, "Short", AND(LEN(B202) &gt; 25, LEN(B202) &lt;= 50), "Medium", LEN(B202) &gt; 50, "Long")</f>
        <v>Medium</v>
      </c>
      <c r="D202" s="14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" t="s">
        <v>55</v>
      </c>
      <c r="C203" s="13" t="str" cm="1">
        <f t="array" ref="C203">_xlfn.IFS(LEN(B203) &lt;= 25, "Short", AND(LEN(B203) &gt; 25, LEN(B203) &lt;= 50), "Medium", LEN(B203) &gt; 50, "Long")</f>
        <v>Short</v>
      </c>
      <c r="D203" s="14" t="s">
        <v>77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" t="s">
        <v>226</v>
      </c>
      <c r="C204" s="13" t="str" cm="1">
        <f t="array" ref="C204">_xlfn.IFS(LEN(B204) &lt;= 25, "Short", AND(LEN(B204) &gt; 25, LEN(B204) &lt;= 50), "Medium", LEN(B204) &gt; 50, "Long")</f>
        <v>Medium</v>
      </c>
      <c r="D204" s="14" t="s">
        <v>76</v>
      </c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" t="s">
        <v>123</v>
      </c>
      <c r="C205" s="13" t="str" cm="1">
        <f t="array" ref="C205">_xlfn.IFS(LEN(B205) &lt;= 25, "Short", AND(LEN(B205) &gt; 25, LEN(B205) &lt;= 50), "Medium", LEN(B205) &gt; 50, "Long")</f>
        <v>Medium</v>
      </c>
      <c r="D205" s="14" t="s">
        <v>80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4" t="s">
        <v>251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" t="s">
        <v>33</v>
      </c>
      <c r="C207" s="13" t="str" cm="1">
        <f t="array" ref="C207">_xlfn.IFS(LEN(B207) &lt;= 25, "Short", AND(LEN(B207) &gt; 25, LEN(B207) &lt;= 50), "Medium", LEN(B207) &gt; 50, "Long")</f>
        <v>Long</v>
      </c>
      <c r="D207" s="14" t="s">
        <v>77</v>
      </c>
      <c r="E207" s="1" t="s">
        <v>251</v>
      </c>
      <c r="F207" s="13" t="b">
        <f t="shared" si="9"/>
        <v>0</v>
      </c>
    </row>
    <row r="208" spans="1:6" x14ac:dyDescent="0.3">
      <c r="A208" s="1">
        <v>417</v>
      </c>
      <c r="B208" s="1" t="s">
        <v>9</v>
      </c>
      <c r="C208" s="13" t="str" cm="1">
        <f t="array" ref="C208">_xlfn.IFS(LEN(B208) &lt;= 25, "Short", AND(LEN(B208) &gt; 25, LEN(B208) &lt;= 50), "Medium", LEN(B208) &gt; 50, "Long")</f>
        <v>Medium</v>
      </c>
      <c r="D208" s="14" t="s">
        <v>251</v>
      </c>
      <c r="E208" s="1" t="s">
        <v>251</v>
      </c>
      <c r="F208" s="13" t="b">
        <f t="shared" si="9"/>
        <v>1</v>
      </c>
    </row>
    <row r="209" spans="1:6" x14ac:dyDescent="0.3">
      <c r="A209" s="1">
        <v>418</v>
      </c>
      <c r="B209" s="1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4" t="s">
        <v>80</v>
      </c>
      <c r="E209" s="1" t="s">
        <v>80</v>
      </c>
      <c r="F209" s="13" t="b">
        <f t="shared" si="9"/>
        <v>1</v>
      </c>
    </row>
    <row r="210" spans="1:6" x14ac:dyDescent="0.3">
      <c r="A210" s="1">
        <v>419</v>
      </c>
      <c r="B210" s="1" t="s">
        <v>58</v>
      </c>
      <c r="C210" s="13" t="str" cm="1">
        <f t="array" ref="C210">_xlfn.IFS(LEN(B210) &lt;= 25, "Short", AND(LEN(B210) &gt; 25, LEN(B210) &lt;= 50), "Medium", LEN(B210) &gt; 50, "Long")</f>
        <v>Short</v>
      </c>
      <c r="D210" s="14" t="s">
        <v>82</v>
      </c>
      <c r="E210" s="1" t="s">
        <v>251</v>
      </c>
      <c r="F210" s="13" t="b">
        <f t="shared" si="9"/>
        <v>0</v>
      </c>
    </row>
    <row r="211" spans="1:6" x14ac:dyDescent="0.3">
      <c r="A211" s="1">
        <v>420</v>
      </c>
      <c r="B211" s="1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4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2025-03-15T12:24:20Z</dcterms:modified>
</cp:coreProperties>
</file>