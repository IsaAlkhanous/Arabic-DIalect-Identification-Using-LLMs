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New Prompts\"/>
    </mc:Choice>
  </mc:AlternateContent>
  <xr:revisionPtr revIDLastSave="0" documentId="13_ncr:1_{46977BE6-F82C-4747-A0B3-AEF79C746450}" xr6:coauthVersionLast="47" xr6:coauthVersionMax="47" xr10:uidLastSave="{00000000-0000-0000-0000-000000000000}"/>
  <bookViews>
    <workbookView xWindow="-108" yWindow="-108" windowWidth="23256" windowHeight="1257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Sheet1" sheetId="10" r:id="rId7"/>
    <sheet name="Net" sheetId="4" state="hidden" r:id="rId8"/>
  </sheets>
  <definedNames>
    <definedName name="_xlnm._FilterDatabase" localSheetId="7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<sst xmlns="http://schemas.openxmlformats.org/spreadsheetml/2006/main" count="2380" uniqueCount="524">
  <si>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</si>
  <si>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</si>
  <si>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</si>
  <si>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</si>
  <si>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</si>
  <si>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</si>
  <si>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</si>
  <si>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</si>
  <si>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</si>
  <si>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</si>
  <si>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</si>
  <si>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</si>
  <si>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</si>
  <si>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</si>
  <si>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</si>
  <si>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</si>
  <si>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</si>
  <si>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</si>
  <si>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</si>
  <si>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</si>
  <si>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</si>
  <si>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</si>
  <si>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</si>
  <si>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</si>
  <si>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</si>
  <si>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</si>
  <si>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</si>
  <si>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</si>
  <si>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</si>
  <si>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</si>
  <si>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</si>
  <si>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</si>
  <si>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</si>
  <si>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</si>
  <si>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</si>
  <si>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</si>
  <si>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</si>
  <si>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</si>
  <si>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</si>
  <si>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</si>
  <si>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</si>
  <si>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</si>
  <si>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</si>
  <si>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</si>
  <si>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</si>
  <si>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</si>
  <si>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</si>
  <si>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</si>
  <si>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</si>
  <si>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</si>
  <si>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</si>
  <si>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</si>
  <si>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</si>
  <si>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</si>
  <si>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</si>
  <si>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</si>
  <si>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</si>
  <si>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</si>
  <si>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</si>
  <si>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</si>
  <si>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</si>
  <si>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</si>
  <si>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</si>
  <si>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</si>
  <si>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</si>
  <si>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</si>
  <si>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</si>
  <si>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</si>
  <si>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</si>
  <si>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</si>
  <si>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</si>
  <si>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</si>
  <si>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</si>
  <si>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</si>
  <si>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</si>
  <si>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</si>
  <si>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</si>
  <si>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</si>
  <si>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</si>
  <si>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</si>
  <si>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</si>
  <si>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</si>
  <si>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</si>
  <si>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</si>
  <si>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</si>
  <si>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</si>
  <si>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</si>
  <si>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</si>
  <si>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</si>
  <si>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</si>
  <si>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</si>
  <si>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</si>
  <si>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</si>
  <si>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</si>
  <si>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</si>
  <si>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</si>
  <si>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</si>
  <si>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</si>
  <si>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</si>
  <si>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</si>
  <si>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</si>
  <si>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</si>
  <si>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</si>
  <si>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</si>
  <si>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</si>
  <si>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</si>
  <si>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</si>
  <si>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</si>
  <si>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</si>
  <si>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</si>
  <si>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</si>
  <si>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</si>
  <si>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</si>
  <si>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</si>
  <si>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</si>
  <si>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</si>
  <si>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</si>
  <si>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</si>
  <si>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</si>
  <si>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</si>
  <si>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</si>
  <si>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</si>
  <si>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</si>
  <si>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</si>
  <si>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</si>
  <si>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</si>
  <si>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</si>
  <si>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</si>
  <si>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</si>
  <si>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</si>
  <si>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</si>
  <si>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</si>
  <si>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</si>
  <si>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</si>
  <si>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</si>
  <si>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</si>
  <si>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</si>
  <si>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</si>
  <si>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</si>
  <si>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</si>
  <si>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</si>
  <si>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</si>
  <si>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</si>
  <si>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</si>
  <si>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</si>
  <si>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</si>
  <si>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</si>
  <si>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</si>
  <si>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</si>
  <si>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</si>
  <si>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</si>
  <si>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</si>
  <si>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</si>
  <si>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</si>
  <si>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</si>
  <si>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</si>
  <si>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</si>
  <si>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</si>
  <si>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</si>
  <si>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</si>
  <si>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</si>
  <si>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</si>
  <si>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</si>
  <si>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</si>
  <si>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</si>
  <si>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</si>
  <si>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</si>
  <si>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</si>
  <si>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</si>
  <si>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</si>
  <si>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</si>
  <si>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</si>
  <si>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</si>
  <si>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</si>
  <si>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</si>
  <si>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</si>
  <si>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</si>
  <si>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</si>
  <si>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</si>
  <si>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</si>
  <si>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</si>
  <si>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</si>
  <si>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</si>
  <si>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</si>
  <si>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</si>
  <si>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</si>
  <si>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</si>
  <si>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</si>
  <si>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</si>
  <si>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</si>
  <si>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</si>
  <si>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</si>
  <si>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</si>
  <si>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</si>
  <si>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</si>
  <si>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</si>
  <si>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</si>
  <si>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</si>
  <si>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</si>
  <si>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</si>
  <si>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</si>
  <si>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</si>
  <si>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</si>
  <si>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</si>
  <si>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</si>
  <si>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</si>
  <si>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</si>
  <si>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</si>
  <si>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</si>
  <si>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</si>
  <si>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</si>
  <si>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</si>
  <si>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</si>
  <si>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</si>
  <si>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</si>
  <si>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</si>
  <si>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</si>
  <si>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</si>
  <si>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</si>
  <si>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</si>
  <si>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</si>
  <si>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</si>
  <si>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</si>
  <si>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</si>
  <si>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</si>
  <si>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</si>
  <si>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</si>
  <si>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</si>
  <si>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</si>
  <si>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</si>
  <si>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</si>
  <si>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</si>
  <si>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</si>
  <si>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</si>
  <si>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</si>
  <si>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</si>
  <si>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</si>
  <si>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</si>
  <si>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</si>
  <si>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</si>
  <si>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</si>
  <si>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</si>
  <si>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</si>
  <si>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</si>
  <si>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</si>
  <si>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</si>
  <si>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</si>
  <si>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</si>
  <si>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</si>
  <si>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</si>
  <si>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</si>
  <si>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</si>
  <si>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</si>
  <si>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</si>
  <si>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</si>
  <si>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</si>
  <si>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</si>
  <si>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</si>
  <si>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</si>
  <si>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</si>
  <si>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</si>
  <si>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</si>
  <si>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</si>
  <si>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</si>
  <si>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</si>
  <si>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</si>
  <si>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</si>
  <si>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</si>
  <si>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</si>
  <si>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</si>
  <si>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</si>
  <si>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</si>
  <si>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</si>
  <si>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</si>
  <si>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</si>
  <si>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</si>
  <si>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</si>
  <si>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</si>
  <si>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</si>
  <si>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</si>
  <si>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</si>
  <si>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</si>
  <si>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</si>
  <si>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</si>
  <si>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</si>
  <si>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</si>
  <si>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</si>
  <si>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</si>
  <si>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</si>
  <si>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</si>
  <si>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</si>
  <si>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</si>
  <si>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</si>
  <si>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</si>
  <si>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</si>
  <si>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</si>
  <si>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</si>
  <si>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</si>
  <si>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</si>
  <si>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</si>
  <si>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</si>
  <si>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</si>
  <si>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</si>
  <si>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</si>
  <si>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</si>
  <si>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</si>
  <si>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</si>
  <si>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</si>
  <si>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</si>
  <si>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</si>
  <si>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</si>
  <si>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</si>
  <si>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</si>
  <si>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</si>
  <si>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</si>
  <si>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</si>
  <si>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</si>
  <si>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</si>
  <si>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</si>
  <si>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</si>
  <si>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</si>
  <si>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</si>
  <si>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</si>
  <si>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</si>
  <si>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</si>
  <si>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</si>
  <si>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</si>
  <si>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</si>
  <si>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</si>
  <si>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</si>
  <si>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</si>
  <si>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</si>
  <si>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</si>
  <si>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</si>
  <si>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</si>
  <si>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</si>
  <si>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</si>
  <si>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</si>
  <si>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</si>
  <si>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</si>
  <si>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</si>
  <si>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</si>
  <si>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</si>
  <si>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</si>
  <si>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</si>
  <si>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</si>
  <si>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</si>
  <si>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</si>
  <si>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</si>
  <si>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</si>
  <si>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</si>
  <si>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</si>
  <si>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</si>
  <si>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</si>
  <si>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</si>
  <si>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</si>
  <si>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</si>
  <si>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</si>
  <si>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</si>
  <si>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</si>
  <si>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</si>
  <si>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</si>
  <si>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</si>
  <si>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</si>
  <si>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</si>
  <si>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</si>
  <si>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</si>
  <si>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</si>
  <si>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</si>
  <si>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</si>
  <si>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</si>
  <si>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</si>
  <si>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</si>
  <si>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</si>
  <si>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</si>
  <si>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</si>
  <si>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</si>
  <si>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</si>
  <si>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</si>
  <si>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</si>
  <si>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</si>
  <si>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</si>
  <si>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</si>
  <si>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</si>
  <si>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</si>
  <si>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</si>
  <si>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</si>
  <si>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</si>
  <si>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</si>
  <si>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</si>
  <si>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</si>
  <si>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</si>
  <si>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</si>
  <si>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</si>
  <si>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</si>
  <si>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</si>
  <si>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</si>
  <si>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</si>
  <si>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</si>
  <si>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</si>
  <si>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</si>
  <si>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</si>
  <si>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</si>
  <si>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</si>
  <si>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</si>
  <si>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</si>
  <si>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</si>
  <si>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</si>
  <si>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</si>
  <si>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</si>
  <si>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</si>
  <si>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</si>
  <si>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</si>
  <si>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</si>
  <si>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</si>
  <si>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</si>
  <si>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</si>
  <si>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</si>
  <si>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</si>
  <si>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</si>
  <si>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</si>
  <si>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</si>
  <si>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</si>
  <si>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</si>
  <si>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</si>
  <si>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</si>
  <si>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</si>
  <si>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</si>
  <si>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</si>
  <si>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</si>
  <si>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</si>
  <si>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</si>
  <si>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</si>
  <si>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</si>
  <si>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</si>
  <si>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</si>
  <si>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</si>
  <si>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</si>
  <si>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</si>
  <si>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</si>
  <si>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</si>
  <si>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</si>
  <si>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</si>
  <si>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</si>
  <si>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</si>
  <si>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</si>
  <si>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</si>
  <si>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</si>
  <si>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</si>
  <si>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</si>
  <si>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</si>
  <si>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</si>
  <si>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</si>
  <si>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</si>
  <si>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</si>
  <si>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</si>
  <si>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</si>
  <si>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</si>
  <si>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</si>
  <si>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</si>
  <si>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</si>
  <si>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</si>
  <si>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</si>
  <si>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</si>
  <si>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</si>
  <si>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</si>
  <si>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</si>
  <si>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</si>
  <si>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</si>
  <si>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</si>
  <si>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</si>
  <si>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</si>
  <si>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</si>
  <si>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</si>
  <si>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</si>
  <si>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</si>
  <si>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</si>
  <si>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</si>
  <si>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</si>
  <si>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</si>
  <si>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</si>
  <si>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</si>
  <si>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</si>
  <si>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</si>
  <si>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</si>
  <si>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</si>
  <si>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</si>
  <si>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</si>
  <si>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</si>
  <si>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</si>
  <si>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</si>
  <si>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</si>
  <si>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</si>
  <si>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</si>
  <si>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</si>
  <si>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</si>
  <si>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</si>
  <si>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</si>
  <si>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</si>
  <si>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</si>
  <si>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</si>
  <si>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</si>
  <si>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</si>
  <si>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</si>
  <si>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</si>
  <si>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</si>
  <si>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</si>
  <si>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</si>
  <si>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</si>
  <si>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</si>
  <si>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</si>
  <si>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</si>
  <si>
    <t>يا ولد ليش لهسة ما خلصت واجباتك؟</t>
  </si>
  <si>
    <t>شفت الفيلم اللي نزل السيمانة اللي فاتت؟</t>
  </si>
  <si>
    <t>فين بغينا نمشيو نتعشاو الليلة؟</t>
  </si>
  <si>
    <t>أنا باغي نجرب مطعم جديد سمعت عليه هضرة زوينة في الأيام اللي فاتت.</t>
  </si>
  <si>
    <t>اكو مطعم قريب يبيع دولمة؟</t>
  </si>
  <si>
    <t>البيت اللي اشتريناه جديد وحلو كلش وواسع، بيه حديقة جبيرة نكدر نقعد بيها ونستمتع بالجو الحلو بالمساء.</t>
  </si>
  <si>
    <t>الجو اليوم جميل جداً وما يحتاج الواحد يلبس ملابس ثقيلة، الواحد يقدر يتمشى في الكورنيش ويستمتع بالهواء النظيف.</t>
  </si>
  <si>
    <t>لهيجا البيت كبير كتير.</t>
  </si>
  <si>
    <t>مافشي أغراض في البيت. لازم نسير اليمعية.</t>
  </si>
  <si>
    <t>عمبتسأل شو هيدا الي على فاتورتي .</t>
  </si>
  <si>
    <t>لازم نوفر باستهلاك الكهرباء والماي حتى نحافظ على البيئة ونكون مسؤولين تجاه الأجيال الجاية.</t>
  </si>
  <si>
    <t>إنها كذلك بالفعل.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</si>
</sst>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Gemini-DS Prompt Grok Few.xlsx]T3PT!PivotTable2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Gemini-DS Prompt Grok Few.xlsx]T3PT!PivotTable4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Gemini-DS Prompt Grok Few.xlsx]T2PT!PivotTable2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Gemini-DS Prompt Grok Few.xlsx]T2PT!PivotTable4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Gemini-DS Prompt Grok Few.xlsx]T1PT!PivotTable2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Gemini-DS Prompt Grok Few.xlsx]T1PT!PivotTable4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30</v>
      </c>
    </row>
    <row r="6" spans="1:2" x14ac:dyDescent="0.3">
      <c r="A6" s="15" t="s">
        <v>80</v>
      </c>
      <c r="B6" s="16">
        <v>30</v>
      </c>
    </row>
    <row r="7" spans="1:2" x14ac:dyDescent="0.3">
      <c r="A7" s="15" t="s">
        <v>79</v>
      </c>
      <c r="B7" s="16">
        <v>30</v>
      </c>
    </row>
    <row r="8" spans="1:2" x14ac:dyDescent="0.3">
      <c r="A8" s="15" t="s">
        <v>76</v>
      </c>
      <c r="B8" s="16">
        <v>30</v>
      </c>
    </row>
    <row r="9" spans="1:2" x14ac:dyDescent="0.3">
      <c r="A9" s="15" t="s">
        <v>252</v>
      </c>
      <c r="B9" s="16">
        <v>30</v>
      </c>
    </row>
    <row r="10" spans="1:2" x14ac:dyDescent="0.3">
      <c r="A10" s="15" t="s">
        <v>81</v>
      </c>
      <c r="B10" s="16">
        <v>30</v>
      </c>
    </row>
    <row r="11" spans="1:2" x14ac:dyDescent="0.3">
      <c r="A11" s="15" t="s">
        <v>82</v>
      </c>
      <c r="B11" s="16">
        <v>30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18</v>
      </c>
    </row>
    <row r="16" spans="1:2" x14ac:dyDescent="0.3">
      <c r="A16" s="15" t="s">
        <v>257</v>
      </c>
      <c r="B16" s="16">
        <v>96</v>
      </c>
    </row>
    <row r="17" spans="1:2" x14ac:dyDescent="0.3">
      <c r="A17" s="15" t="s">
        <v>258</v>
      </c>
      <c r="B17" s="16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20</v>
      </c>
    </row>
    <row r="6" spans="1:2" x14ac:dyDescent="0.3">
      <c r="A6" s="15" t="s">
        <v>80</v>
      </c>
      <c r="B6" s="16">
        <v>20</v>
      </c>
    </row>
    <row r="7" spans="1:2" x14ac:dyDescent="0.3">
      <c r="A7" s="15" t="s">
        <v>79</v>
      </c>
      <c r="B7" s="16">
        <v>20</v>
      </c>
    </row>
    <row r="8" spans="1:2" x14ac:dyDescent="0.3">
      <c r="A8" s="15" t="s">
        <v>76</v>
      </c>
      <c r="B8" s="16">
        <v>20</v>
      </c>
    </row>
    <row r="9" spans="1:2" x14ac:dyDescent="0.3">
      <c r="A9" s="15" t="s">
        <v>252</v>
      </c>
      <c r="B9" s="16">
        <v>20</v>
      </c>
    </row>
    <row r="10" spans="1:2" x14ac:dyDescent="0.3">
      <c r="A10" s="15" t="s">
        <v>81</v>
      </c>
      <c r="B10" s="16">
        <v>20</v>
      </c>
    </row>
    <row r="11" spans="1:2" x14ac:dyDescent="0.3">
      <c r="A11" s="15" t="s">
        <v>82</v>
      </c>
      <c r="B11" s="16">
        <v>20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23</v>
      </c>
    </row>
    <row r="16" spans="1:2" x14ac:dyDescent="0.3">
      <c r="A16" s="15" t="s">
        <v>257</v>
      </c>
      <c r="B16" s="16">
        <v>51</v>
      </c>
    </row>
    <row r="17" spans="1:2" x14ac:dyDescent="0.3">
      <c r="A17" s="15" t="s">
        <v>258</v>
      </c>
      <c r="B17" s="16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10</v>
      </c>
    </row>
    <row r="6" spans="1:2" x14ac:dyDescent="0.3">
      <c r="A6" s="15" t="s">
        <v>80</v>
      </c>
      <c r="B6" s="16">
        <v>10</v>
      </c>
    </row>
    <row r="7" spans="1:2" x14ac:dyDescent="0.3">
      <c r="A7" s="15" t="s">
        <v>79</v>
      </c>
      <c r="B7" s="16">
        <v>10</v>
      </c>
    </row>
    <row r="8" spans="1:2" x14ac:dyDescent="0.3">
      <c r="A8" s="15" t="s">
        <v>76</v>
      </c>
      <c r="B8" s="16">
        <v>10</v>
      </c>
    </row>
    <row r="9" spans="1:2" x14ac:dyDescent="0.3">
      <c r="A9" s="15" t="s">
        <v>252</v>
      </c>
      <c r="B9" s="16">
        <v>10</v>
      </c>
    </row>
    <row r="10" spans="1:2" x14ac:dyDescent="0.3">
      <c r="A10" s="15" t="s">
        <v>81</v>
      </c>
      <c r="B10" s="16">
        <v>10</v>
      </c>
    </row>
    <row r="11" spans="1:2" x14ac:dyDescent="0.3">
      <c r="A11" s="15" t="s">
        <v>82</v>
      </c>
      <c r="B11" s="16">
        <v>10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15</v>
      </c>
    </row>
    <row r="16" spans="1:2" x14ac:dyDescent="0.3">
      <c r="A16" s="15" t="s">
        <v>257</v>
      </c>
      <c r="B16" s="16">
        <v>21</v>
      </c>
    </row>
    <row r="17" spans="1:2" x14ac:dyDescent="0.3">
      <c r="A17" s="15" t="s">
        <v>258</v>
      </c>
      <c r="B17" s="16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B1" zoomScale="87" workbookViewId="0">
      <selection activeCell="D2" sqref="D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7" t="s">
        <v>262</v>
      </c>
      <c r="C2" s="1" t="str" cm="1">
        <f t="array" ref="C2">_xlfn.IFS(LEN(B2) &lt;= 25, "Short", AND(LEN(B2) &gt; 25, LEN(B2) &lt;= 50), "Medium", LEN(B2) &gt; 50, "Long")</f>
        <v>Long</v>
      </c>
      <c r="E2" s="17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0</v>
      </c>
      <c r="J2" s="4">
        <f>(I2/H2)</f>
        <v>0</v>
      </c>
    </row>
    <row r="3" spans="1:12" x14ac:dyDescent="0.3">
      <c r="A3" s="1">
        <v>2</v>
      </c>
      <c r="B3" s="17" t="s">
        <v>263</v>
      </c>
      <c r="C3" s="12" t="str" cm="1">
        <f t="array" ref="C3">_xlfn.IFS(LEN(B3) &lt;= 25, "Short", AND(LEN(B3) &gt; 25, LEN(B3) &lt;= 50), "Medium", LEN(B3) &gt; 50, "Long")</f>
        <v>Long</v>
      </c>
      <c r="E3" s="17" t="s">
        <v>80</v>
      </c>
      <c r="F3" s="13" t="b">
        <f t="shared" ref="F3:F66" si="0">IF(D3=E3, TRUE, FALSE)</f>
        <v>0</v>
      </c>
      <c r="L3" s="5"/>
    </row>
    <row r="4" spans="1:12" x14ac:dyDescent="0.3">
      <c r="A4" s="1">
        <v>3</v>
      </c>
      <c r="B4" s="17" t="s">
        <v>264</v>
      </c>
      <c r="C4" s="12" t="str" cm="1">
        <f t="array" ref="C4">_xlfn.IFS(LEN(B4) &lt;= 25, "Short", AND(LEN(B4) &gt; 25, LEN(B4) &lt;= 50), "Medium", LEN(B4) &gt; 50, "Long")</f>
        <v>Long</v>
      </c>
      <c r="E4" s="17" t="s">
        <v>82</v>
      </c>
      <c r="F4" s="13" t="b">
        <f t="shared" si="0"/>
        <v>0</v>
      </c>
      <c r="H4" s="19" t="s">
        <v>237</v>
      </c>
      <c r="I4" s="19"/>
      <c r="J4" s="19"/>
      <c r="K4" s="19"/>
    </row>
    <row r="5" spans="1:12" x14ac:dyDescent="0.3">
      <c r="A5" s="1">
        <v>4</v>
      </c>
      <c r="B5" s="17" t="s">
        <v>265</v>
      </c>
      <c r="C5" s="12" t="str" cm="1">
        <f t="array" ref="C5">_xlfn.IFS(LEN(B5) &lt;= 25, "Short", AND(LEN(B5) &gt; 25, LEN(B5) &lt;= 50), "Medium", LEN(B5) &gt; 50, "Long")</f>
        <v>Long</v>
      </c>
      <c r="E5" s="17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7" t="s">
        <v>266</v>
      </c>
      <c r="C6" s="12" t="str" cm="1">
        <f t="array" ref="C6">_xlfn.IFS(LEN(B6) &lt;= 25, "Short", AND(LEN(B6) &gt; 25, LEN(B6) &lt;= 50), "Medium", LEN(B6) &gt; 50, "Long")</f>
        <v>Short</v>
      </c>
      <c r="E6" s="17" t="s">
        <v>80</v>
      </c>
      <c r="F6" s="13" t="b">
        <f t="shared" si="0"/>
        <v>0</v>
      </c>
      <c r="H6" s="1" t="s">
        <v>252</v>
      </c>
      <c r="I6" s="1">
        <f>COUNTIF($E$2:$E$71,H6)</f>
        <v>10</v>
      </c>
      <c r="J6" s="1">
        <f>COUNTIFS($E$2:$E$71, H6, $D$2:$D$71, H6)</f>
        <v>0</v>
      </c>
      <c r="K6" s="3">
        <f>J6/I6</f>
        <v>0</v>
      </c>
    </row>
    <row r="7" spans="1:12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E7" s="17" t="s">
        <v>252</v>
      </c>
      <c r="F7" s="13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0</v>
      </c>
      <c r="K7" s="3">
        <f t="shared" ref="K7:K12" si="3">J7/I7</f>
        <v>0</v>
      </c>
    </row>
    <row r="8" spans="1:12" x14ac:dyDescent="0.3">
      <c r="A8" s="1">
        <v>7</v>
      </c>
      <c r="B8" s="17" t="s">
        <v>267</v>
      </c>
      <c r="C8" s="12" t="str" cm="1">
        <f t="array" ref="C8">_xlfn.IFS(LEN(B8) &lt;= 25, "Short", AND(LEN(B8) &gt; 25, LEN(B8) &lt;= 50), "Medium", LEN(B8) &gt; 50, "Long")</f>
        <v>Long</v>
      </c>
      <c r="E8" s="17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0</v>
      </c>
      <c r="K8" s="3">
        <f t="shared" si="3"/>
        <v>0</v>
      </c>
    </row>
    <row r="9" spans="1:12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E9" s="17" t="s">
        <v>76</v>
      </c>
      <c r="F9" s="13" t="b">
        <f t="shared" si="0"/>
        <v>0</v>
      </c>
      <c r="H9" s="1" t="s">
        <v>77</v>
      </c>
      <c r="I9" s="1">
        <f t="shared" si="1"/>
        <v>10</v>
      </c>
      <c r="J9" s="1">
        <f t="shared" si="2"/>
        <v>0</v>
      </c>
      <c r="K9" s="3">
        <f t="shared" si="3"/>
        <v>0</v>
      </c>
    </row>
    <row r="10" spans="1:12" x14ac:dyDescent="0.3">
      <c r="A10" s="1">
        <v>9</v>
      </c>
      <c r="B10" s="17" t="s">
        <v>268</v>
      </c>
      <c r="C10" s="12" t="str" cm="1">
        <f t="array" ref="C10">_xlfn.IFS(LEN(B10) &lt;= 25, "Short", AND(LEN(B10) &gt; 25, LEN(B10) &lt;= 50), "Medium", LEN(B10) &gt; 50, "Long")</f>
        <v>Long</v>
      </c>
      <c r="E10" s="17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E11" s="17" t="s">
        <v>77</v>
      </c>
      <c r="F11" s="13" t="b">
        <f t="shared" si="0"/>
        <v>0</v>
      </c>
      <c r="H11" s="1" t="s">
        <v>80</v>
      </c>
      <c r="I11" s="1">
        <f t="shared" si="1"/>
        <v>10</v>
      </c>
      <c r="J11" s="1">
        <f t="shared" si="2"/>
        <v>0</v>
      </c>
      <c r="K11" s="3">
        <f t="shared" si="3"/>
        <v>0</v>
      </c>
    </row>
    <row r="12" spans="1:12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E12" s="17" t="s">
        <v>76</v>
      </c>
      <c r="F12" s="13" t="b">
        <f t="shared" si="0"/>
        <v>0</v>
      </c>
      <c r="H12" s="1" t="s">
        <v>76</v>
      </c>
      <c r="I12" s="1">
        <f t="shared" si="1"/>
        <v>10</v>
      </c>
      <c r="J12" s="1">
        <f t="shared" si="2"/>
        <v>0</v>
      </c>
      <c r="K12" s="3">
        <f t="shared" si="3"/>
        <v>0</v>
      </c>
    </row>
    <row r="13" spans="1:12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E13" s="17" t="s">
        <v>76</v>
      </c>
      <c r="F13" s="13" t="b">
        <f t="shared" si="0"/>
        <v>0</v>
      </c>
    </row>
    <row r="14" spans="1:12" x14ac:dyDescent="0.3">
      <c r="A14" s="1">
        <v>13</v>
      </c>
      <c r="B14" s="17" t="s">
        <v>269</v>
      </c>
      <c r="C14" s="12" t="str" cm="1">
        <f t="array" ref="C14">_xlfn.IFS(LEN(B14) &lt;= 25, "Short", AND(LEN(B14) &gt; 25, LEN(B14) &lt;= 50), "Medium", LEN(B14) &gt; 50, "Long")</f>
        <v>Medium</v>
      </c>
      <c r="E14" s="17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7" t="s">
        <v>270</v>
      </c>
      <c r="C15" s="12" t="str" cm="1">
        <f t="array" ref="C15">_xlfn.IFS(LEN(B15) &lt;= 25, "Short", AND(LEN(B15) &gt; 25, LEN(B15) &lt;= 50), "Medium", LEN(B15) &gt; 50, "Long")</f>
        <v>Short</v>
      </c>
      <c r="E15" s="17" t="s">
        <v>76</v>
      </c>
      <c r="F15" s="13" t="b">
        <f t="shared" si="0"/>
        <v>0</v>
      </c>
      <c r="H15" s="1" t="s">
        <v>258</v>
      </c>
      <c r="I15" s="1">
        <f>COUNTIF(C2:C71, "Short")</f>
        <v>34</v>
      </c>
      <c r="J15" s="1">
        <f>COUNTIFS(C2:C71, "Short", F2:F71, TRUE)</f>
        <v>0</v>
      </c>
      <c r="K15" s="4">
        <f>J15/I15</f>
        <v>0</v>
      </c>
    </row>
    <row r="16" spans="1:12" x14ac:dyDescent="0.3">
      <c r="A16" s="1">
        <v>15</v>
      </c>
      <c r="B16" s="17" t="s">
        <v>271</v>
      </c>
      <c r="C16" s="12" t="str" cm="1">
        <f t="array" ref="C16">_xlfn.IFS(LEN(B16) &lt;= 25, "Short", AND(LEN(B16) &gt; 25, LEN(B16) &lt;= 50), "Medium", LEN(B16) &gt; 50, "Long")</f>
        <v>Long</v>
      </c>
      <c r="E16" s="17" t="s">
        <v>79</v>
      </c>
      <c r="F16" s="13" t="b">
        <f t="shared" si="0"/>
        <v>0</v>
      </c>
      <c r="H16" s="1" t="s">
        <v>257</v>
      </c>
      <c r="I16" s="6">
        <f>COUNTIF(C2:C71, "Medium")</f>
        <v>21</v>
      </c>
      <c r="J16" s="1">
        <f>COUNTIFS(C2:C71, "Medium", F2:F71, TRUE)</f>
        <v>0</v>
      </c>
      <c r="K16" s="4">
        <f t="shared" ref="K16:K17" si="4">J16/I16</f>
        <v>0</v>
      </c>
    </row>
    <row r="17" spans="1:11" x14ac:dyDescent="0.3">
      <c r="A17" s="1">
        <v>16</v>
      </c>
      <c r="B17" s="17" t="s">
        <v>272</v>
      </c>
      <c r="C17" s="12" t="str" cm="1">
        <f t="array" ref="C17">_xlfn.IFS(LEN(B17) &lt;= 25, "Short", AND(LEN(B17) &gt; 25, LEN(B17) &lt;= 50), "Medium", LEN(B17) &gt; 50, "Long")</f>
        <v>Short</v>
      </c>
      <c r="E17" s="17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0</v>
      </c>
      <c r="K17" s="4">
        <f t="shared" si="4"/>
        <v>0</v>
      </c>
    </row>
    <row r="18" spans="1:11" x14ac:dyDescent="0.3">
      <c r="A18" s="1">
        <v>17</v>
      </c>
      <c r="B18" s="17" t="s">
        <v>273</v>
      </c>
      <c r="C18" s="12" t="str" cm="1">
        <f t="array" ref="C18">_xlfn.IFS(LEN(B18) &lt;= 25, "Short", AND(LEN(B18) &gt; 25, LEN(B18) &lt;= 50), "Medium", LEN(B18) &gt; 50, "Long")</f>
        <v>Long</v>
      </c>
      <c r="E18" s="17" t="s">
        <v>79</v>
      </c>
      <c r="F18" s="13" t="b">
        <f t="shared" si="0"/>
        <v>0</v>
      </c>
    </row>
    <row r="19" spans="1:11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E19" s="17" t="s">
        <v>252</v>
      </c>
      <c r="F19" s="13" t="b">
        <f t="shared" si="0"/>
        <v>0</v>
      </c>
      <c r="H19" s="19" t="s">
        <v>247</v>
      </c>
      <c r="I19" s="19"/>
      <c r="J19"/>
      <c r="K19"/>
    </row>
    <row r="20" spans="1:11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E20" s="17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7" t="s">
        <v>274</v>
      </c>
      <c r="C21" s="12" t="str" cm="1">
        <f t="array" ref="C21">_xlfn.IFS(LEN(B21) &lt;= 25, "Short", AND(LEN(B21) &gt; 25, LEN(B21) &lt;= 50), "Medium", LEN(B21) &gt; 50, "Long")</f>
        <v>Short</v>
      </c>
      <c r="E21" s="17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E22" s="17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7" t="s">
        <v>275</v>
      </c>
      <c r="C23" s="12" t="str" cm="1">
        <f t="array" ref="C23">_xlfn.IFS(LEN(B23) &lt;= 25, "Short", AND(LEN(B23) &gt; 25, LEN(B23) &lt;= 50), "Medium", LEN(B23) &gt; 50, "Long")</f>
        <v>Short</v>
      </c>
      <c r="E23" s="17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E24" s="17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7" t="s">
        <v>276</v>
      </c>
      <c r="C25" s="12" t="str" cm="1">
        <f t="array" ref="C25">_xlfn.IFS(LEN(B25) &lt;= 25, "Short", AND(LEN(B25) &gt; 25, LEN(B25) &lt;= 50), "Medium", LEN(B25) &gt; 50, "Long")</f>
        <v>Short</v>
      </c>
      <c r="E25" s="17" t="s">
        <v>81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7" t="s">
        <v>277</v>
      </c>
      <c r="C26" s="12" t="str" cm="1">
        <f t="array" ref="C26">_xlfn.IFS(LEN(B26) &lt;= 25, "Short", AND(LEN(B26) &gt; 25, LEN(B26) &lt;= 50), "Medium", LEN(B26) &gt; 50, "Long")</f>
        <v>Short</v>
      </c>
      <c r="E26" s="17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7" t="s">
        <v>278</v>
      </c>
      <c r="C27" s="12" t="str" cm="1">
        <f t="array" ref="C27">_xlfn.IFS(LEN(B27) &lt;= 25, "Short", AND(LEN(B27) &gt; 25, LEN(B27) &lt;= 50), "Medium", LEN(B27) &gt; 50, "Long")</f>
        <v>Medium</v>
      </c>
      <c r="E27" s="17" t="s">
        <v>79</v>
      </c>
      <c r="F27" s="13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E28" s="17" t="s">
        <v>76</v>
      </c>
      <c r="F28" s="13" t="b">
        <f t="shared" si="0"/>
        <v>0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E29" s="17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E30" s="17" t="s">
        <v>76</v>
      </c>
      <c r="F30" s="13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7" t="s">
        <v>279</v>
      </c>
      <c r="C31" s="12" t="str" cm="1">
        <f t="array" ref="C31">_xlfn.IFS(LEN(B31) &lt;= 25, "Short", AND(LEN(B31) &gt; 25, LEN(B31) &lt;= 50), "Medium", LEN(B31) &gt; 50, "Long")</f>
        <v>Long</v>
      </c>
      <c r="E31" s="17" t="s">
        <v>252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7" t="s">
        <v>280</v>
      </c>
      <c r="C32" s="12" t="str" cm="1">
        <f t="array" ref="C32">_xlfn.IFS(LEN(B32) &lt;= 25, "Short", AND(LEN(B32) &gt; 25, LEN(B32) &lt;= 50), "Medium", LEN(B32) &gt; 50, "Long")</f>
        <v>Long</v>
      </c>
      <c r="E32" s="17" t="s">
        <v>77</v>
      </c>
      <c r="F32" s="13" t="b">
        <f t="shared" si="0"/>
        <v>0</v>
      </c>
      <c r="H32" s="1" t="s">
        <v>80</v>
      </c>
      <c r="I32" s="1" t="s">
        <v>76</v>
      </c>
      <c r="J32" s="1">
        <f t="shared" si="6"/>
        <v>0</v>
      </c>
      <c r="K32" s="10">
        <f>J32/I11</f>
        <v>0</v>
      </c>
    </row>
    <row r="33" spans="1:6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E33" s="17" t="s">
        <v>76</v>
      </c>
      <c r="F33" s="13" t="b">
        <f t="shared" si="0"/>
        <v>0</v>
      </c>
    </row>
    <row r="34" spans="1:6" x14ac:dyDescent="0.3">
      <c r="A34" s="1">
        <v>33</v>
      </c>
      <c r="B34" s="17" t="s">
        <v>281</v>
      </c>
      <c r="C34" s="12" t="str" cm="1">
        <f t="array" ref="C34">_xlfn.IFS(LEN(B34) &lt;= 25, "Short", AND(LEN(B34) &gt; 25, LEN(B34) &lt;= 50), "Medium", LEN(B34) &gt; 50, "Long")</f>
        <v>Medium</v>
      </c>
      <c r="E34" s="17" t="s">
        <v>77</v>
      </c>
      <c r="F34" s="13" t="b">
        <f t="shared" si="0"/>
        <v>0</v>
      </c>
    </row>
    <row r="35" spans="1:6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E35" s="17" t="s">
        <v>80</v>
      </c>
      <c r="F35" s="13" t="b">
        <f t="shared" si="0"/>
        <v>0</v>
      </c>
    </row>
    <row r="36" spans="1:6" x14ac:dyDescent="0.3">
      <c r="A36" s="1">
        <v>35</v>
      </c>
      <c r="B36" s="17" t="s">
        <v>282</v>
      </c>
      <c r="C36" s="12" t="str" cm="1">
        <f t="array" ref="C36">_xlfn.IFS(LEN(B36) &lt;= 25, "Short", AND(LEN(B36) &gt; 25, LEN(B36) &lt;= 50), "Medium", LEN(B36) &gt; 50, "Long")</f>
        <v>Medium</v>
      </c>
      <c r="E36" s="17" t="s">
        <v>80</v>
      </c>
      <c r="F36" s="13" t="b">
        <f t="shared" si="0"/>
        <v>0</v>
      </c>
    </row>
    <row r="37" spans="1:6" x14ac:dyDescent="0.3">
      <c r="A37" s="1">
        <v>36</v>
      </c>
      <c r="B37" s="17" t="s">
        <v>283</v>
      </c>
      <c r="C37" s="12" t="str" cm="1">
        <f t="array" ref="C37">_xlfn.IFS(LEN(B37) &lt;= 25, "Short", AND(LEN(B37) &gt; 25, LEN(B37) &lt;= 50), "Medium", LEN(B37) &gt; 50, "Long")</f>
        <v>Short</v>
      </c>
      <c r="E37" s="17" t="s">
        <v>81</v>
      </c>
      <c r="F37" s="13" t="b">
        <f t="shared" si="0"/>
        <v>0</v>
      </c>
    </row>
    <row r="38" spans="1:6" x14ac:dyDescent="0.3">
      <c r="A38" s="1">
        <v>37</v>
      </c>
      <c r="B38" s="17" t="s">
        <v>284</v>
      </c>
      <c r="C38" s="12" t="str" cm="1">
        <f t="array" ref="C38">_xlfn.IFS(LEN(B38) &lt;= 25, "Short", AND(LEN(B38) &gt; 25, LEN(B38) &lt;= 50), "Medium", LEN(B38) &gt; 50, "Long")</f>
        <v>Short</v>
      </c>
      <c r="E38" s="17" t="s">
        <v>252</v>
      </c>
      <c r="F38" s="13" t="b">
        <f t="shared" si="0"/>
        <v>0</v>
      </c>
    </row>
    <row r="39" spans="1:6" x14ac:dyDescent="0.3">
      <c r="A39" s="1">
        <v>38</v>
      </c>
      <c r="B39" s="17" t="s">
        <v>285</v>
      </c>
      <c r="C39" s="12" t="str" cm="1">
        <f t="array" ref="C39">_xlfn.IFS(LEN(B39) &lt;= 25, "Short", AND(LEN(B39) &gt; 25, LEN(B39) &lt;= 50), "Medium", LEN(B39) &gt; 50, "Long")</f>
        <v>Short</v>
      </c>
      <c r="E39" s="17" t="s">
        <v>79</v>
      </c>
      <c r="F39" s="13" t="b">
        <f t="shared" si="0"/>
        <v>0</v>
      </c>
    </row>
    <row r="40" spans="1:6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E40" s="17" t="s">
        <v>82</v>
      </c>
      <c r="F40" s="13" t="b">
        <f t="shared" si="0"/>
        <v>0</v>
      </c>
    </row>
    <row r="41" spans="1:6" x14ac:dyDescent="0.3">
      <c r="A41" s="1">
        <v>40</v>
      </c>
      <c r="B41" s="17" t="s">
        <v>286</v>
      </c>
      <c r="C41" s="12" t="str" cm="1">
        <f t="array" ref="C41">_xlfn.IFS(LEN(B41) &lt;= 25, "Short", AND(LEN(B41) &gt; 25, LEN(B41) &lt;= 50), "Medium", LEN(B41) &gt; 50, "Long")</f>
        <v>Short</v>
      </c>
      <c r="E41" s="17" t="s">
        <v>82</v>
      </c>
      <c r="F41" s="13" t="b">
        <f t="shared" si="0"/>
        <v>0</v>
      </c>
    </row>
    <row r="42" spans="1:6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E42" s="17" t="s">
        <v>81</v>
      </c>
      <c r="F42" s="13" t="b">
        <f t="shared" si="0"/>
        <v>0</v>
      </c>
    </row>
    <row r="43" spans="1:6" x14ac:dyDescent="0.3">
      <c r="A43" s="1">
        <v>42</v>
      </c>
      <c r="B43" s="17" t="s">
        <v>287</v>
      </c>
      <c r="C43" s="12" t="str" cm="1">
        <f t="array" ref="C43">_xlfn.IFS(LEN(B43) &lt;= 25, "Short", AND(LEN(B43) &gt; 25, LEN(B43) &lt;= 50), "Medium", LEN(B43) &gt; 50, "Long")</f>
        <v>Short</v>
      </c>
      <c r="E43" s="17" t="s">
        <v>81</v>
      </c>
      <c r="F43" s="13" t="b">
        <f t="shared" si="0"/>
        <v>0</v>
      </c>
    </row>
    <row r="44" spans="1:6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E44" s="17" t="s">
        <v>80</v>
      </c>
      <c r="F44" s="13" t="b">
        <f t="shared" si="0"/>
        <v>0</v>
      </c>
    </row>
    <row r="45" spans="1:6" x14ac:dyDescent="0.3">
      <c r="A45" s="1">
        <v>44</v>
      </c>
      <c r="B45" s="17" t="s">
        <v>288</v>
      </c>
      <c r="C45" s="12" t="str" cm="1">
        <f t="array" ref="C45">_xlfn.IFS(LEN(B45) &lt;= 25, "Short", AND(LEN(B45) &gt; 25, LEN(B45) &lt;= 50), "Medium", LEN(B45) &gt; 50, "Long")</f>
        <v>Long</v>
      </c>
      <c r="E45" s="17" t="s">
        <v>252</v>
      </c>
      <c r="F45" s="13" t="b">
        <f t="shared" si="0"/>
        <v>0</v>
      </c>
    </row>
    <row r="46" spans="1:6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E46" s="17" t="s">
        <v>81</v>
      </c>
      <c r="F46" s="13" t="b">
        <f t="shared" si="0"/>
        <v>0</v>
      </c>
    </row>
    <row r="47" spans="1:6" x14ac:dyDescent="0.3">
      <c r="A47" s="1">
        <v>46</v>
      </c>
      <c r="B47" s="17" t="s">
        <v>289</v>
      </c>
      <c r="C47" s="12" t="str" cm="1">
        <f t="array" ref="C47">_xlfn.IFS(LEN(B47) &lt;= 25, "Short", AND(LEN(B47) &gt; 25, LEN(B47) &lt;= 50), "Medium", LEN(B47) &gt; 50, "Long")</f>
        <v>Medium</v>
      </c>
      <c r="E47" s="17" t="s">
        <v>82</v>
      </c>
      <c r="F47" s="13" t="b">
        <f t="shared" si="0"/>
        <v>0</v>
      </c>
    </row>
    <row r="48" spans="1:6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E48" s="17" t="s">
        <v>79</v>
      </c>
      <c r="F48" s="13" t="b">
        <f t="shared" si="0"/>
        <v>0</v>
      </c>
    </row>
    <row r="49" spans="1:6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E49" s="17" t="s">
        <v>81</v>
      </c>
      <c r="F49" s="13" t="b">
        <f t="shared" si="0"/>
        <v>0</v>
      </c>
    </row>
    <row r="50" spans="1:6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E50" s="17" t="s">
        <v>81</v>
      </c>
      <c r="F50" s="13" t="b">
        <f t="shared" si="0"/>
        <v>0</v>
      </c>
    </row>
    <row r="51" spans="1:6" x14ac:dyDescent="0.3">
      <c r="A51" s="1">
        <v>50</v>
      </c>
      <c r="B51" s="17" t="s">
        <v>290</v>
      </c>
      <c r="C51" s="12" t="str" cm="1">
        <f t="array" ref="C51">_xlfn.IFS(LEN(B51) &lt;= 25, "Short", AND(LEN(B51) &gt; 25, LEN(B51) &lt;= 50), "Medium", LEN(B51) &gt; 50, "Long")</f>
        <v>Medium</v>
      </c>
      <c r="E51" s="17" t="s">
        <v>77</v>
      </c>
      <c r="F51" s="13" t="b">
        <f t="shared" si="0"/>
        <v>0</v>
      </c>
    </row>
    <row r="52" spans="1:6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E52" s="17" t="s">
        <v>76</v>
      </c>
      <c r="F52" s="13" t="b">
        <f t="shared" si="0"/>
        <v>0</v>
      </c>
    </row>
    <row r="53" spans="1:6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E53" s="17" t="s">
        <v>82</v>
      </c>
      <c r="F53" s="13" t="b">
        <f t="shared" si="0"/>
        <v>0</v>
      </c>
    </row>
    <row r="54" spans="1:6" x14ac:dyDescent="0.3">
      <c r="A54" s="1">
        <v>53</v>
      </c>
      <c r="B54" s="17" t="s">
        <v>291</v>
      </c>
      <c r="C54" s="12" t="str" cm="1">
        <f t="array" ref="C54">_xlfn.IFS(LEN(B54) &lt;= 25, "Short", AND(LEN(B54) &gt; 25, LEN(B54) &lt;= 50), "Medium", LEN(B54) &gt; 50, "Long")</f>
        <v>Short</v>
      </c>
      <c r="E54" s="17" t="s">
        <v>77</v>
      </c>
      <c r="F54" s="13" t="b">
        <f t="shared" si="0"/>
        <v>0</v>
      </c>
    </row>
    <row r="55" spans="1:6" x14ac:dyDescent="0.3">
      <c r="A55" s="1">
        <v>54</v>
      </c>
      <c r="B55" s="17" t="s">
        <v>292</v>
      </c>
      <c r="C55" s="12" t="str" cm="1">
        <f t="array" ref="C55">_xlfn.IFS(LEN(B55) &lt;= 25, "Short", AND(LEN(B55) &gt; 25, LEN(B55) &lt;= 50), "Medium", LEN(B55) &gt; 50, "Long")</f>
        <v>Medium</v>
      </c>
      <c r="E55" s="17" t="s">
        <v>79</v>
      </c>
      <c r="F55" s="13" t="b">
        <f t="shared" si="0"/>
        <v>0</v>
      </c>
    </row>
    <row r="56" spans="1:6" x14ac:dyDescent="0.3">
      <c r="A56" s="1">
        <v>55</v>
      </c>
      <c r="B56" s="17" t="s">
        <v>293</v>
      </c>
      <c r="C56" s="12" t="str" cm="1">
        <f t="array" ref="C56">_xlfn.IFS(LEN(B56) &lt;= 25, "Short", AND(LEN(B56) &gt; 25, LEN(B56) &lt;= 50), "Medium", LEN(B56) &gt; 50, "Long")</f>
        <v>Long</v>
      </c>
      <c r="E56" s="17" t="s">
        <v>252</v>
      </c>
      <c r="F56" s="13" t="b">
        <f t="shared" si="0"/>
        <v>0</v>
      </c>
    </row>
    <row r="57" spans="1:6" x14ac:dyDescent="0.3">
      <c r="A57" s="1">
        <v>56</v>
      </c>
      <c r="B57" s="17" t="s">
        <v>294</v>
      </c>
      <c r="C57" s="12" t="str" cm="1">
        <f t="array" ref="C57">_xlfn.IFS(LEN(B57) &lt;= 25, "Short", AND(LEN(B57) &gt; 25, LEN(B57) &lt;= 50), "Medium", LEN(B57) &gt; 50, "Long")</f>
        <v>Medium</v>
      </c>
      <c r="E57" s="17" t="s">
        <v>77</v>
      </c>
      <c r="F57" s="13" t="b">
        <f t="shared" si="0"/>
        <v>0</v>
      </c>
    </row>
    <row r="58" spans="1:6" x14ac:dyDescent="0.3">
      <c r="A58" s="1">
        <v>57</v>
      </c>
      <c r="B58" s="17" t="s">
        <v>295</v>
      </c>
      <c r="C58" s="12" t="str" cm="1">
        <f t="array" ref="C58">_xlfn.IFS(LEN(B58) &lt;= 25, "Short", AND(LEN(B58) &gt; 25, LEN(B58) &lt;= 50), "Medium", LEN(B58) &gt; 50, "Long")</f>
        <v>Medium</v>
      </c>
      <c r="E58" s="17" t="s">
        <v>82</v>
      </c>
      <c r="F58" s="13" t="b">
        <f t="shared" si="0"/>
        <v>0</v>
      </c>
    </row>
    <row r="59" spans="1:6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E59" s="17" t="s">
        <v>81</v>
      </c>
      <c r="F59" s="13" t="b">
        <f t="shared" si="0"/>
        <v>0</v>
      </c>
    </row>
    <row r="60" spans="1:6" x14ac:dyDescent="0.3">
      <c r="A60" s="1">
        <v>59</v>
      </c>
      <c r="B60" s="17" t="s">
        <v>296</v>
      </c>
      <c r="C60" s="12" t="str" cm="1">
        <f t="array" ref="C60">_xlfn.IFS(LEN(B60) &lt;= 25, "Short", AND(LEN(B60) &gt; 25, LEN(B60) &lt;= 50), "Medium", LEN(B60) &gt; 50, "Long")</f>
        <v>Short</v>
      </c>
      <c r="E60" s="17" t="s">
        <v>79</v>
      </c>
      <c r="F60" s="13" t="b">
        <f t="shared" si="0"/>
        <v>0</v>
      </c>
    </row>
    <row r="61" spans="1:6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E61" s="17" t="s">
        <v>252</v>
      </c>
      <c r="F61" s="13" t="b">
        <f t="shared" si="0"/>
        <v>0</v>
      </c>
    </row>
    <row r="62" spans="1:6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E62" s="17" t="s">
        <v>252</v>
      </c>
      <c r="F62" s="13" t="b">
        <f t="shared" si="0"/>
        <v>0</v>
      </c>
    </row>
    <row r="63" spans="1:6" x14ac:dyDescent="0.3">
      <c r="A63" s="1">
        <v>62</v>
      </c>
      <c r="B63" s="17" t="s">
        <v>297</v>
      </c>
      <c r="C63" s="12" t="str" cm="1">
        <f t="array" ref="C63">_xlfn.IFS(LEN(B63) &lt;= 25, "Short", AND(LEN(B63) &gt; 25, LEN(B63) &lt;= 50), "Medium", LEN(B63) &gt; 50, "Long")</f>
        <v>Short</v>
      </c>
      <c r="E63" s="17" t="s">
        <v>81</v>
      </c>
      <c r="F63" s="13" t="b">
        <f t="shared" si="0"/>
        <v>0</v>
      </c>
    </row>
    <row r="64" spans="1:6" x14ac:dyDescent="0.3">
      <c r="A64" s="1">
        <v>63</v>
      </c>
      <c r="B64" s="17" t="s">
        <v>298</v>
      </c>
      <c r="C64" s="12" t="str" cm="1">
        <f t="array" ref="C64">_xlfn.IFS(LEN(B64) &lt;= 25, "Short", AND(LEN(B64) &gt; 25, LEN(B64) &lt;= 50), "Medium", LEN(B64) &gt; 50, "Long")</f>
        <v>Long</v>
      </c>
      <c r="E64" s="17" t="s">
        <v>252</v>
      </c>
      <c r="F64" s="13" t="b">
        <f t="shared" si="0"/>
        <v>0</v>
      </c>
    </row>
    <row r="65" spans="1:6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E65" s="17" t="s">
        <v>76</v>
      </c>
      <c r="F65" s="13" t="b">
        <f t="shared" si="0"/>
        <v>0</v>
      </c>
    </row>
    <row r="66" spans="1:6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E66" s="17" t="s">
        <v>79</v>
      </c>
      <c r="F66" s="13" t="b">
        <f t="shared" si="0"/>
        <v>0</v>
      </c>
    </row>
    <row r="67" spans="1:6" x14ac:dyDescent="0.3">
      <c r="A67" s="1">
        <v>66</v>
      </c>
      <c r="B67" s="17" t="s">
        <v>299</v>
      </c>
      <c r="C67" s="12" t="str" cm="1">
        <f t="array" ref="C67">_xlfn.IFS(LEN(B67) &lt;= 25, "Short", AND(LEN(B67) &gt; 25, LEN(B67) &lt;= 50), "Medium", LEN(B67) &gt; 50, "Long")</f>
        <v>Long</v>
      </c>
      <c r="E67" s="17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7" t="s">
        <v>300</v>
      </c>
      <c r="C68" s="12" t="str" cm="1">
        <f t="array" ref="C68">_xlfn.IFS(LEN(B68) &lt;= 25, "Short", AND(LEN(B68) &gt; 25, LEN(B68) &lt;= 50), "Medium", LEN(B68) &gt; 50, "Long")</f>
        <v>Short</v>
      </c>
      <c r="E68" s="17" t="s">
        <v>77</v>
      </c>
      <c r="F68" s="13" t="b">
        <f t="shared" si="7"/>
        <v>0</v>
      </c>
    </row>
    <row r="69" spans="1:6" x14ac:dyDescent="0.3">
      <c r="A69" s="1">
        <v>68</v>
      </c>
      <c r="B69" s="17" t="s">
        <v>301</v>
      </c>
      <c r="C69" s="12" t="str" cm="1">
        <f t="array" ref="C69">_xlfn.IFS(LEN(B69) &lt;= 25, "Short", AND(LEN(B69) &gt; 25, LEN(B69) &lt;= 50), "Medium", LEN(B69) &gt; 50, "Long")</f>
        <v>Short</v>
      </c>
      <c r="E69" s="17" t="s">
        <v>77</v>
      </c>
      <c r="F69" s="13" t="b">
        <f t="shared" si="7"/>
        <v>0</v>
      </c>
    </row>
    <row r="70" spans="1:6" x14ac:dyDescent="0.3">
      <c r="A70" s="1">
        <v>69</v>
      </c>
      <c r="B70" s="17" t="s">
        <v>302</v>
      </c>
      <c r="C70" s="12" t="str" cm="1">
        <f t="array" ref="C70">_xlfn.IFS(LEN(B70) &lt;= 25, "Short", AND(LEN(B70) &gt; 25, LEN(B70) &lt;= 50), "Medium", LEN(B70) &gt; 50, "Long")</f>
        <v>Short</v>
      </c>
      <c r="E70" s="17" t="s">
        <v>80</v>
      </c>
      <c r="F70" s="13" t="b">
        <f t="shared" si="7"/>
        <v>0</v>
      </c>
    </row>
    <row r="71" spans="1:6" x14ac:dyDescent="0.3">
      <c r="A71" s="1">
        <v>70</v>
      </c>
      <c r="B71" s="17" t="s">
        <v>303</v>
      </c>
      <c r="C71" s="12" t="str" cm="1">
        <f t="array" ref="C71">_xlfn.IFS(LEN(B71) &lt;= 25, "Short", AND(LEN(B71) &gt; 25, LEN(B71) &lt;= 50), "Medium", LEN(B71) &gt; 50, "Long")</f>
        <v>Short</v>
      </c>
      <c r="E71" s="17" t="s">
        <v>76</v>
      </c>
      <c r="F71" s="13" t="b">
        <f t="shared" si="7"/>
        <v>0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D2" sqref="D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1"/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0</v>
      </c>
      <c r="J2" s="4">
        <f>I2/H2</f>
        <v>0</v>
      </c>
    </row>
    <row r="3" spans="1:11" x14ac:dyDescent="0.3">
      <c r="A3" s="1">
        <v>72</v>
      </c>
      <c r="B3" s="17" t="s">
        <v>304</v>
      </c>
      <c r="C3" s="13" t="str" cm="1">
        <f t="array" ref="C3">_xlfn.IFS(LEN(B3) &lt;= 25, "Short", AND(LEN(B3) &gt; 25, LEN(B3) &lt;= 50), "Medium", LEN(B3) &gt; 50, "Long")</f>
        <v>Long</v>
      </c>
      <c r="D3" s="1"/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1"/>
      <c r="E4" s="1" t="s">
        <v>77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1"/>
      <c r="E5" s="1" t="s">
        <v>81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7" t="s">
        <v>305</v>
      </c>
      <c r="C6" s="13" t="str" cm="1">
        <f t="array" ref="C6">_xlfn.IFS(LEN(B6) &lt;= 25, "Short", AND(LEN(B6) &gt; 25, LEN(B6) &lt;= 50), "Medium", LEN(B6) &gt; 50, "Long")</f>
        <v>Medium</v>
      </c>
      <c r="D6" s="1"/>
      <c r="E6" s="1" t="s">
        <v>77</v>
      </c>
      <c r="F6" s="13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0</v>
      </c>
      <c r="K6" s="3">
        <f>J6/I6</f>
        <v>0</v>
      </c>
    </row>
    <row r="7" spans="1:11" x14ac:dyDescent="0.3">
      <c r="A7" s="1">
        <v>76</v>
      </c>
      <c r="B7" s="17" t="s">
        <v>306</v>
      </c>
      <c r="C7" s="13" t="str" cm="1">
        <f t="array" ref="C7">_xlfn.IFS(LEN(B7) &lt;= 25, "Short", AND(LEN(B7) &gt; 25, LEN(B7) &lt;= 50), "Medium", LEN(B7) &gt; 50, "Long")</f>
        <v>Long</v>
      </c>
      <c r="D7" s="1"/>
      <c r="E7" s="1" t="s">
        <v>77</v>
      </c>
      <c r="F7" s="13" t="b">
        <f t="shared" si="0"/>
        <v>0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0</v>
      </c>
      <c r="K7" s="3">
        <f t="shared" ref="K7:K12" si="3">J7/I7</f>
        <v>0</v>
      </c>
    </row>
    <row r="8" spans="1:11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1"/>
      <c r="E8" s="1" t="s">
        <v>80</v>
      </c>
      <c r="F8" s="13" t="b">
        <f t="shared" si="0"/>
        <v>0</v>
      </c>
      <c r="H8" s="1" t="s">
        <v>79</v>
      </c>
      <c r="I8" s="1">
        <f t="shared" si="1"/>
        <v>20</v>
      </c>
      <c r="J8" s="1">
        <f t="shared" si="2"/>
        <v>0</v>
      </c>
      <c r="K8" s="3">
        <f t="shared" si="3"/>
        <v>0</v>
      </c>
    </row>
    <row r="9" spans="1:11" x14ac:dyDescent="0.3">
      <c r="A9" s="1">
        <v>78</v>
      </c>
      <c r="B9" s="17" t="s">
        <v>307</v>
      </c>
      <c r="C9" s="13" t="str" cm="1">
        <f t="array" ref="C9">_xlfn.IFS(LEN(B9) &lt;= 25, "Short", AND(LEN(B9) &gt; 25, LEN(B9) &lt;= 50), "Medium", LEN(B9) &gt; 50, "Long")</f>
        <v>Short</v>
      </c>
      <c r="D9" s="1"/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0</v>
      </c>
      <c r="K9" s="3">
        <f t="shared" si="3"/>
        <v>0</v>
      </c>
    </row>
    <row r="10" spans="1:11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"/>
      <c r="E10" s="1" t="s">
        <v>252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"/>
      <c r="E11" s="1" t="s">
        <v>76</v>
      </c>
      <c r="F11" s="13" t="b">
        <f t="shared" si="0"/>
        <v>0</v>
      </c>
      <c r="H11" s="1" t="s">
        <v>80</v>
      </c>
      <c r="I11" s="1">
        <f t="shared" si="1"/>
        <v>20</v>
      </c>
      <c r="J11" s="1">
        <f t="shared" si="2"/>
        <v>0</v>
      </c>
      <c r="K11" s="3">
        <f t="shared" si="3"/>
        <v>0</v>
      </c>
    </row>
    <row r="12" spans="1:11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"/>
      <c r="E12" s="1" t="s">
        <v>76</v>
      </c>
      <c r="F12" s="13" t="b">
        <f t="shared" si="0"/>
        <v>0</v>
      </c>
      <c r="H12" s="1" t="s">
        <v>76</v>
      </c>
      <c r="I12" s="1">
        <f t="shared" si="1"/>
        <v>20</v>
      </c>
      <c r="J12" s="1">
        <f t="shared" si="2"/>
        <v>0</v>
      </c>
      <c r="K12" s="3">
        <f t="shared" si="3"/>
        <v>0</v>
      </c>
    </row>
    <row r="13" spans="1:11" x14ac:dyDescent="0.3">
      <c r="A13" s="1">
        <v>82</v>
      </c>
      <c r="B13" s="17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"/>
      <c r="E13" s="1" t="s">
        <v>80</v>
      </c>
      <c r="F13" s="13" t="b">
        <f t="shared" si="0"/>
        <v>0</v>
      </c>
    </row>
    <row r="14" spans="1:11" x14ac:dyDescent="0.3">
      <c r="A14" s="1">
        <v>83</v>
      </c>
      <c r="B14" s="17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"/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"/>
      <c r="E15" s="1" t="s">
        <v>76</v>
      </c>
      <c r="F15" s="13" t="b">
        <f t="shared" si="0"/>
        <v>0</v>
      </c>
      <c r="H15" s="6" t="s">
        <v>258</v>
      </c>
      <c r="I15" s="6">
        <f>COUNTIF(C2:C141, "Short")</f>
        <v>66</v>
      </c>
      <c r="J15" s="6">
        <f>COUNTIFS(C2:C141, "Short", F2:F141, TRUE)</f>
        <v>0</v>
      </c>
      <c r="K15" s="4">
        <f>J15/I15</f>
        <v>0</v>
      </c>
    </row>
    <row r="16" spans="1:11" x14ac:dyDescent="0.3">
      <c r="A16" s="1">
        <v>85</v>
      </c>
      <c r="B16" s="17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"/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0</v>
      </c>
      <c r="K16" s="4">
        <f t="shared" ref="K16:K17" si="4">J16/I16</f>
        <v>0</v>
      </c>
    </row>
    <row r="17" spans="1:11" x14ac:dyDescent="0.3">
      <c r="A17" s="1">
        <v>86</v>
      </c>
      <c r="B17" s="17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"/>
      <c r="E17" s="1" t="s">
        <v>252</v>
      </c>
      <c r="F17" s="13" t="b">
        <f t="shared" si="0"/>
        <v>0</v>
      </c>
      <c r="H17" s="6" t="s">
        <v>256</v>
      </c>
      <c r="I17" s="6">
        <f>COUNTIF(C2:C141, "Long")</f>
        <v>23</v>
      </c>
      <c r="J17" s="6">
        <f>COUNTIFS(C2:C141, "Long", F2:F141, TRUE)</f>
        <v>0</v>
      </c>
      <c r="K17" s="4">
        <f t="shared" si="4"/>
        <v>0</v>
      </c>
    </row>
    <row r="18" spans="1:11" x14ac:dyDescent="0.3">
      <c r="A18" s="1">
        <v>87</v>
      </c>
      <c r="B18" s="17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"/>
      <c r="E18" s="1" t="s">
        <v>79</v>
      </c>
      <c r="F18" s="13" t="b">
        <f t="shared" si="0"/>
        <v>0</v>
      </c>
    </row>
    <row r="19" spans="1:11" x14ac:dyDescent="0.3">
      <c r="A19" s="1">
        <v>88</v>
      </c>
      <c r="B19" s="17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"/>
      <c r="E19" s="1" t="s">
        <v>77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89</v>
      </c>
      <c r="B20" s="17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"/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7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"/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"/>
      <c r="E22" s="1" t="s">
        <v>76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7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"/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7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"/>
      <c r="E24" s="1" t="s">
        <v>77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"/>
      <c r="E25" s="1" t="s">
        <v>79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7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"/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7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"/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7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"/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"/>
      <c r="E29" s="1" t="s">
        <v>76</v>
      </c>
      <c r="F29" s="13" t="b">
        <f t="shared" si="0"/>
        <v>0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7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"/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7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"/>
      <c r="E31" s="1" t="s">
        <v>77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"/>
      <c r="E32" s="1" t="s">
        <v>252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7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"/>
      <c r="E33" s="1" t="s">
        <v>79</v>
      </c>
      <c r="F33" s="13" t="b">
        <f t="shared" si="0"/>
        <v>0</v>
      </c>
    </row>
    <row r="34" spans="1:6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"/>
      <c r="E34" s="1" t="s">
        <v>80</v>
      </c>
      <c r="F34" s="13" t="b">
        <f t="shared" si="0"/>
        <v>0</v>
      </c>
    </row>
    <row r="35" spans="1:6" x14ac:dyDescent="0.3">
      <c r="A35" s="1">
        <v>104</v>
      </c>
      <c r="B35" s="17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"/>
      <c r="E35" s="1" t="s">
        <v>252</v>
      </c>
      <c r="F35" s="13" t="b">
        <f t="shared" si="0"/>
        <v>0</v>
      </c>
    </row>
    <row r="36" spans="1:6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"/>
      <c r="E36" s="1" t="s">
        <v>76</v>
      </c>
      <c r="F36" s="13" t="b">
        <f t="shared" si="0"/>
        <v>0</v>
      </c>
    </row>
    <row r="37" spans="1:6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"/>
      <c r="E37" s="1" t="s">
        <v>76</v>
      </c>
      <c r="F37" s="13" t="b">
        <f t="shared" si="0"/>
        <v>0</v>
      </c>
    </row>
    <row r="38" spans="1:6" x14ac:dyDescent="0.3">
      <c r="A38" s="1">
        <v>107</v>
      </c>
      <c r="B38" s="17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"/>
      <c r="E38" s="1" t="s">
        <v>81</v>
      </c>
      <c r="F38" s="13" t="b">
        <f t="shared" si="0"/>
        <v>0</v>
      </c>
    </row>
    <row r="39" spans="1:6" x14ac:dyDescent="0.3">
      <c r="A39" s="1">
        <v>108</v>
      </c>
      <c r="B39" s="17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"/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7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"/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7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"/>
      <c r="E41" s="1" t="s">
        <v>77</v>
      </c>
      <c r="F41" s="13" t="b">
        <f t="shared" si="0"/>
        <v>0</v>
      </c>
    </row>
    <row r="42" spans="1:6" x14ac:dyDescent="0.3">
      <c r="A42" s="1">
        <v>111</v>
      </c>
      <c r="B42" s="17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"/>
      <c r="E42" s="1" t="s">
        <v>80</v>
      </c>
      <c r="F42" s="13" t="b">
        <f t="shared" si="0"/>
        <v>0</v>
      </c>
    </row>
    <row r="43" spans="1:6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"/>
      <c r="E43" s="1" t="s">
        <v>76</v>
      </c>
      <c r="F43" s="13" t="b">
        <f t="shared" si="0"/>
        <v>0</v>
      </c>
    </row>
    <row r="44" spans="1:6" x14ac:dyDescent="0.3">
      <c r="A44" s="1">
        <v>113</v>
      </c>
      <c r="B44" s="17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"/>
      <c r="E44" s="1" t="s">
        <v>252</v>
      </c>
      <c r="F44" s="13" t="b">
        <f t="shared" si="0"/>
        <v>0</v>
      </c>
    </row>
    <row r="45" spans="1:6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"/>
      <c r="E45" s="1" t="s">
        <v>79</v>
      </c>
      <c r="F45" s="13" t="b">
        <f t="shared" si="0"/>
        <v>0</v>
      </c>
    </row>
    <row r="46" spans="1:6" x14ac:dyDescent="0.3">
      <c r="A46" s="1">
        <v>115</v>
      </c>
      <c r="B46" s="17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"/>
      <c r="E46" s="1" t="s">
        <v>252</v>
      </c>
      <c r="F46" s="13" t="b">
        <f t="shared" si="0"/>
        <v>0</v>
      </c>
    </row>
    <row r="47" spans="1:6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"/>
      <c r="E47" s="1" t="s">
        <v>76</v>
      </c>
      <c r="F47" s="13" t="b">
        <f t="shared" si="0"/>
        <v>0</v>
      </c>
    </row>
    <row r="48" spans="1:6" x14ac:dyDescent="0.3">
      <c r="A48" s="1">
        <v>117</v>
      </c>
      <c r="B48" s="17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"/>
      <c r="E48" s="1" t="s">
        <v>81</v>
      </c>
      <c r="F48" s="13" t="b">
        <f t="shared" si="0"/>
        <v>0</v>
      </c>
    </row>
    <row r="49" spans="1:6" x14ac:dyDescent="0.3">
      <c r="A49" s="1">
        <v>118</v>
      </c>
      <c r="B49" s="17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"/>
      <c r="E49" s="1" t="s">
        <v>76</v>
      </c>
      <c r="F49" s="13" t="b">
        <f t="shared" si="0"/>
        <v>0</v>
      </c>
    </row>
    <row r="50" spans="1:6" x14ac:dyDescent="0.3">
      <c r="A50" s="1">
        <v>119</v>
      </c>
      <c r="B50" s="17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"/>
      <c r="E50" s="1" t="s">
        <v>81</v>
      </c>
      <c r="F50" s="13" t="b">
        <f t="shared" si="0"/>
        <v>0</v>
      </c>
    </row>
    <row r="51" spans="1:6" x14ac:dyDescent="0.3">
      <c r="A51" s="1">
        <v>120</v>
      </c>
      <c r="B51" s="17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"/>
      <c r="E51" s="1" t="s">
        <v>80</v>
      </c>
      <c r="F51" s="13" t="b">
        <f t="shared" si="0"/>
        <v>0</v>
      </c>
    </row>
    <row r="52" spans="1:6" x14ac:dyDescent="0.3">
      <c r="A52" s="1">
        <v>121</v>
      </c>
      <c r="B52" s="17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"/>
      <c r="E52" s="1" t="s">
        <v>77</v>
      </c>
      <c r="F52" s="13" t="b">
        <f t="shared" si="0"/>
        <v>0</v>
      </c>
    </row>
    <row r="53" spans="1:6" x14ac:dyDescent="0.3">
      <c r="A53" s="1">
        <v>122</v>
      </c>
      <c r="B53" s="17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"/>
      <c r="E53" s="1" t="s">
        <v>76</v>
      </c>
      <c r="F53" s="13" t="b">
        <f t="shared" si="0"/>
        <v>0</v>
      </c>
    </row>
    <row r="54" spans="1:6" x14ac:dyDescent="0.3">
      <c r="A54" s="1">
        <v>123</v>
      </c>
      <c r="B54" s="17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"/>
      <c r="E54" s="1" t="s">
        <v>79</v>
      </c>
      <c r="F54" s="13" t="b">
        <f t="shared" si="0"/>
        <v>0</v>
      </c>
    </row>
    <row r="55" spans="1:6" x14ac:dyDescent="0.3">
      <c r="A55" s="1">
        <v>124</v>
      </c>
      <c r="B55" s="17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"/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7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"/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"/>
      <c r="E57" s="1" t="s">
        <v>76</v>
      </c>
      <c r="F57" s="13" t="b">
        <f t="shared" si="0"/>
        <v>0</v>
      </c>
    </row>
    <row r="58" spans="1:6" x14ac:dyDescent="0.3">
      <c r="A58" s="1">
        <v>127</v>
      </c>
      <c r="B58" s="17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"/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7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"/>
      <c r="E59" s="1" t="s">
        <v>79</v>
      </c>
      <c r="F59" s="13" t="b">
        <f t="shared" si="0"/>
        <v>0</v>
      </c>
    </row>
    <row r="60" spans="1:6" x14ac:dyDescent="0.3">
      <c r="A60" s="1">
        <v>129</v>
      </c>
      <c r="B60" s="17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"/>
      <c r="E60" s="1" t="s">
        <v>79</v>
      </c>
      <c r="F60" s="13" t="b">
        <f t="shared" si="0"/>
        <v>0</v>
      </c>
    </row>
    <row r="61" spans="1:6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"/>
      <c r="E61" s="1" t="s">
        <v>76</v>
      </c>
      <c r="F61" s="13" t="b">
        <f t="shared" si="0"/>
        <v>0</v>
      </c>
    </row>
    <row r="62" spans="1:6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"/>
      <c r="E62" s="1" t="s">
        <v>252</v>
      </c>
      <c r="F62" s="13" t="b">
        <f t="shared" si="0"/>
        <v>0</v>
      </c>
    </row>
    <row r="63" spans="1:6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"/>
      <c r="E63" s="1" t="s">
        <v>79</v>
      </c>
      <c r="F63" s="13" t="b">
        <f t="shared" si="0"/>
        <v>0</v>
      </c>
    </row>
    <row r="64" spans="1:6" x14ac:dyDescent="0.3">
      <c r="A64" s="1">
        <v>133</v>
      </c>
      <c r="B64" s="17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"/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"/>
      <c r="E65" s="1" t="s">
        <v>81</v>
      </c>
      <c r="F65" s="13" t="b">
        <f t="shared" si="0"/>
        <v>0</v>
      </c>
    </row>
    <row r="66" spans="1:6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"/>
      <c r="E66" s="1" t="s">
        <v>80</v>
      </c>
      <c r="F66" s="13" t="b">
        <f t="shared" si="0"/>
        <v>0</v>
      </c>
    </row>
    <row r="67" spans="1:6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"/>
      <c r="E67" s="1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7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"/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"/>
      <c r="E69" s="1" t="s">
        <v>80</v>
      </c>
      <c r="F69" s="13" t="b">
        <f t="shared" si="7"/>
        <v>0</v>
      </c>
    </row>
    <row r="70" spans="1:6" x14ac:dyDescent="0.3">
      <c r="A70" s="1">
        <v>139</v>
      </c>
      <c r="B70" s="17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"/>
      <c r="E70" s="1" t="s">
        <v>252</v>
      </c>
      <c r="F70" s="13" t="b">
        <f t="shared" si="7"/>
        <v>0</v>
      </c>
    </row>
    <row r="71" spans="1:6" x14ac:dyDescent="0.3">
      <c r="A71" s="1">
        <v>140</v>
      </c>
      <c r="B71" s="17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"/>
      <c r="E71" s="1" t="s">
        <v>81</v>
      </c>
      <c r="F71" s="13" t="b">
        <f t="shared" si="7"/>
        <v>0</v>
      </c>
    </row>
    <row r="72" spans="1:6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"/>
      <c r="E72" s="1" t="s">
        <v>252</v>
      </c>
      <c r="F72" s="13" t="b">
        <f t="shared" si="7"/>
        <v>0</v>
      </c>
    </row>
    <row r="73" spans="1:6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"/>
      <c r="E73" s="1" t="s">
        <v>252</v>
      </c>
      <c r="F73" s="13" t="b">
        <f t="shared" si="7"/>
        <v>0</v>
      </c>
    </row>
    <row r="74" spans="1:6" x14ac:dyDescent="0.3">
      <c r="A74" s="1">
        <v>143</v>
      </c>
      <c r="B74" s="17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"/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7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"/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"/>
      <c r="E76" s="1" t="s">
        <v>79</v>
      </c>
      <c r="F76" s="13" t="b">
        <f t="shared" si="7"/>
        <v>0</v>
      </c>
    </row>
    <row r="77" spans="1:6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"/>
      <c r="E77" s="1" t="s">
        <v>82</v>
      </c>
      <c r="F77" s="13" t="b">
        <f t="shared" si="7"/>
        <v>0</v>
      </c>
    </row>
    <row r="78" spans="1:6" x14ac:dyDescent="0.3">
      <c r="A78" s="1">
        <v>147</v>
      </c>
      <c r="B78" s="17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"/>
      <c r="E78" s="1" t="s">
        <v>81</v>
      </c>
      <c r="F78" s="13" t="b">
        <f t="shared" si="7"/>
        <v>0</v>
      </c>
    </row>
    <row r="79" spans="1:6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"/>
      <c r="E79" s="1" t="s">
        <v>81</v>
      </c>
      <c r="F79" s="13" t="b">
        <f t="shared" si="7"/>
        <v>0</v>
      </c>
    </row>
    <row r="80" spans="1:6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"/>
      <c r="E80" s="1" t="s">
        <v>81</v>
      </c>
      <c r="F80" s="13" t="b">
        <f t="shared" si="7"/>
        <v>0</v>
      </c>
    </row>
    <row r="81" spans="1:6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"/>
      <c r="E81" s="1" t="s">
        <v>79</v>
      </c>
      <c r="F81" s="13" t="b">
        <f t="shared" si="7"/>
        <v>0</v>
      </c>
    </row>
    <row r="82" spans="1:6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"/>
      <c r="E82" s="1" t="s">
        <v>80</v>
      </c>
      <c r="F82" s="13" t="b">
        <f t="shared" si="7"/>
        <v>0</v>
      </c>
    </row>
    <row r="83" spans="1:6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"/>
      <c r="E83" s="1" t="s">
        <v>81</v>
      </c>
      <c r="F83" s="13" t="b">
        <f t="shared" si="7"/>
        <v>0</v>
      </c>
    </row>
    <row r="84" spans="1:6" x14ac:dyDescent="0.3">
      <c r="A84" s="1">
        <v>153</v>
      </c>
      <c r="B84" s="17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"/>
      <c r="E84" s="1" t="s">
        <v>252</v>
      </c>
      <c r="F84" s="13" t="b">
        <f t="shared" si="7"/>
        <v>0</v>
      </c>
    </row>
    <row r="85" spans="1:6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"/>
      <c r="E85" s="1" t="s">
        <v>77</v>
      </c>
      <c r="F85" s="13" t="b">
        <f t="shared" si="7"/>
        <v>0</v>
      </c>
    </row>
    <row r="86" spans="1:6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"/>
      <c r="E86" s="1" t="s">
        <v>79</v>
      </c>
      <c r="F86" s="13" t="b">
        <f t="shared" si="7"/>
        <v>0</v>
      </c>
    </row>
    <row r="87" spans="1:6" x14ac:dyDescent="0.3">
      <c r="A87" s="1">
        <v>156</v>
      </c>
      <c r="B87" s="17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"/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7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"/>
      <c r="E88" s="1" t="s">
        <v>252</v>
      </c>
      <c r="F88" s="13" t="b">
        <f t="shared" si="7"/>
        <v>0</v>
      </c>
    </row>
    <row r="89" spans="1:6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"/>
      <c r="E89" s="1" t="s">
        <v>80</v>
      </c>
      <c r="F89" s="13" t="b">
        <f t="shared" si="7"/>
        <v>0</v>
      </c>
    </row>
    <row r="90" spans="1:6" x14ac:dyDescent="0.3">
      <c r="A90" s="1">
        <v>159</v>
      </c>
      <c r="B90" s="17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"/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7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"/>
      <c r="E91" s="1" t="s">
        <v>79</v>
      </c>
      <c r="F91" s="13" t="b">
        <f t="shared" si="7"/>
        <v>0</v>
      </c>
    </row>
    <row r="92" spans="1:6" x14ac:dyDescent="0.3">
      <c r="A92" s="1">
        <v>161</v>
      </c>
      <c r="B92" s="17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"/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7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"/>
      <c r="E93" s="1" t="s">
        <v>77</v>
      </c>
      <c r="F93" s="13" t="b">
        <f t="shared" si="7"/>
        <v>0</v>
      </c>
    </row>
    <row r="94" spans="1:6" x14ac:dyDescent="0.3">
      <c r="A94" s="1">
        <v>163</v>
      </c>
      <c r="B94" s="17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"/>
      <c r="E94" s="1" t="s">
        <v>77</v>
      </c>
      <c r="F94" s="13" t="b">
        <f t="shared" si="7"/>
        <v>0</v>
      </c>
    </row>
    <row r="95" spans="1:6" x14ac:dyDescent="0.3">
      <c r="A95" s="1">
        <v>164</v>
      </c>
      <c r="B95" s="17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"/>
      <c r="E95" s="1" t="s">
        <v>77</v>
      </c>
      <c r="F95" s="13" t="b">
        <f t="shared" si="7"/>
        <v>0</v>
      </c>
    </row>
    <row r="96" spans="1:6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"/>
      <c r="E96" s="1" t="s">
        <v>76</v>
      </c>
      <c r="F96" s="13" t="b">
        <f t="shared" si="7"/>
        <v>0</v>
      </c>
    </row>
    <row r="97" spans="1:6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"/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7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"/>
      <c r="E98" s="1" t="s">
        <v>80</v>
      </c>
      <c r="F98" s="13" t="b">
        <f t="shared" si="7"/>
        <v>0</v>
      </c>
    </row>
    <row r="99" spans="1:6" x14ac:dyDescent="0.3">
      <c r="A99" s="1">
        <v>168</v>
      </c>
      <c r="B99" s="17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"/>
      <c r="E99" s="1" t="s">
        <v>77</v>
      </c>
      <c r="F99" s="13" t="b">
        <f t="shared" si="7"/>
        <v>0</v>
      </c>
    </row>
    <row r="100" spans="1:6" x14ac:dyDescent="0.3">
      <c r="A100" s="1">
        <v>169</v>
      </c>
      <c r="B100" s="17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"/>
      <c r="E100" s="1" t="s">
        <v>79</v>
      </c>
      <c r="F100" s="13" t="b">
        <f t="shared" si="7"/>
        <v>0</v>
      </c>
    </row>
    <row r="101" spans="1:6" x14ac:dyDescent="0.3">
      <c r="A101" s="1">
        <v>170</v>
      </c>
      <c r="B101" s="17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"/>
      <c r="E101" s="1" t="s">
        <v>252</v>
      </c>
      <c r="F101" s="13" t="b">
        <f t="shared" si="7"/>
        <v>0</v>
      </c>
    </row>
    <row r="102" spans="1:6" x14ac:dyDescent="0.3">
      <c r="A102" s="1">
        <v>171</v>
      </c>
      <c r="B102" s="17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"/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7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"/>
      <c r="E103" s="1" t="s">
        <v>80</v>
      </c>
      <c r="F103" s="13" t="b">
        <f t="shared" si="7"/>
        <v>0</v>
      </c>
    </row>
    <row r="104" spans="1:6" x14ac:dyDescent="0.3">
      <c r="A104" s="1">
        <v>173</v>
      </c>
      <c r="B104" s="17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"/>
      <c r="E104" s="1" t="s">
        <v>77</v>
      </c>
      <c r="F104" s="13" t="b">
        <f t="shared" si="7"/>
        <v>0</v>
      </c>
    </row>
    <row r="105" spans="1:6" x14ac:dyDescent="0.3">
      <c r="A105" s="1">
        <v>174</v>
      </c>
      <c r="B105" s="17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"/>
      <c r="E105" s="1" t="s">
        <v>80</v>
      </c>
      <c r="F105" s="13" t="b">
        <f t="shared" si="7"/>
        <v>0</v>
      </c>
    </row>
    <row r="106" spans="1:6" x14ac:dyDescent="0.3">
      <c r="A106" s="1">
        <v>175</v>
      </c>
      <c r="B106" s="17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"/>
      <c r="E106" s="1" t="s">
        <v>81</v>
      </c>
      <c r="F106" s="13" t="b">
        <f t="shared" si="7"/>
        <v>0</v>
      </c>
    </row>
    <row r="107" spans="1:6" x14ac:dyDescent="0.3">
      <c r="A107" s="1">
        <v>176</v>
      </c>
      <c r="B107" s="17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"/>
      <c r="E107" s="1" t="s">
        <v>79</v>
      </c>
      <c r="F107" s="13" t="b">
        <f t="shared" si="7"/>
        <v>0</v>
      </c>
    </row>
    <row r="108" spans="1:6" x14ac:dyDescent="0.3">
      <c r="A108" s="1">
        <v>177</v>
      </c>
      <c r="B108" s="17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"/>
      <c r="E108" s="1" t="s">
        <v>77</v>
      </c>
      <c r="F108" s="13" t="b">
        <f t="shared" si="7"/>
        <v>0</v>
      </c>
    </row>
    <row r="109" spans="1:6" x14ac:dyDescent="0.3">
      <c r="A109" s="1">
        <v>178</v>
      </c>
      <c r="B109" s="17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"/>
      <c r="E109" s="1" t="s">
        <v>79</v>
      </c>
      <c r="F109" s="13" t="b">
        <f t="shared" si="7"/>
        <v>0</v>
      </c>
    </row>
    <row r="110" spans="1:6" x14ac:dyDescent="0.3">
      <c r="A110" s="1">
        <v>179</v>
      </c>
      <c r="B110" s="17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"/>
      <c r="E110" s="1" t="s">
        <v>252</v>
      </c>
      <c r="F110" s="13" t="b">
        <f t="shared" si="7"/>
        <v>0</v>
      </c>
    </row>
    <row r="111" spans="1:6" x14ac:dyDescent="0.3">
      <c r="A111" s="1">
        <v>180</v>
      </c>
      <c r="B111" s="17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"/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7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"/>
      <c r="E112" s="1" t="s">
        <v>252</v>
      </c>
      <c r="F112" s="13" t="b">
        <f t="shared" si="7"/>
        <v>0</v>
      </c>
    </row>
    <row r="113" spans="1:6" x14ac:dyDescent="0.3">
      <c r="A113" s="1">
        <v>182</v>
      </c>
      <c r="B113" s="17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"/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"/>
      <c r="E114" s="1" t="s">
        <v>76</v>
      </c>
      <c r="F114" s="13" t="b">
        <f t="shared" si="7"/>
        <v>0</v>
      </c>
    </row>
    <row r="115" spans="1:6" x14ac:dyDescent="0.3">
      <c r="A115" s="1">
        <v>184</v>
      </c>
      <c r="B115" s="17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"/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"/>
      <c r="E116" s="1" t="s">
        <v>81</v>
      </c>
      <c r="F116" s="13" t="b">
        <f t="shared" si="7"/>
        <v>0</v>
      </c>
    </row>
    <row r="117" spans="1:6" x14ac:dyDescent="0.3">
      <c r="A117" s="1">
        <v>186</v>
      </c>
      <c r="B117" s="17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"/>
      <c r="E117" s="1" t="s">
        <v>82</v>
      </c>
      <c r="F117" s="13" t="b">
        <f t="shared" si="7"/>
        <v>0</v>
      </c>
    </row>
    <row r="118" spans="1:6" x14ac:dyDescent="0.3">
      <c r="A118" s="1">
        <v>187</v>
      </c>
      <c r="B118" s="17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"/>
      <c r="E118" s="1" t="s">
        <v>77</v>
      </c>
      <c r="F118" s="13" t="b">
        <f t="shared" si="7"/>
        <v>0</v>
      </c>
    </row>
    <row r="119" spans="1:6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"/>
      <c r="E119" s="1" t="s">
        <v>252</v>
      </c>
      <c r="F119" s="13" t="b">
        <f t="shared" si="7"/>
        <v>0</v>
      </c>
    </row>
    <row r="120" spans="1:6" x14ac:dyDescent="0.3">
      <c r="A120" s="1">
        <v>189</v>
      </c>
      <c r="B120" s="17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"/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7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"/>
      <c r="E121" s="1" t="s">
        <v>80</v>
      </c>
      <c r="F121" s="13" t="b">
        <f t="shared" si="7"/>
        <v>0</v>
      </c>
    </row>
    <row r="122" spans="1:6" x14ac:dyDescent="0.3">
      <c r="A122" s="1">
        <v>191</v>
      </c>
      <c r="B122" s="17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"/>
      <c r="E122" s="1" t="s">
        <v>76</v>
      </c>
      <c r="F122" s="13" t="b">
        <f t="shared" si="7"/>
        <v>0</v>
      </c>
    </row>
    <row r="123" spans="1:6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"/>
      <c r="E123" s="1" t="s">
        <v>76</v>
      </c>
      <c r="F123" s="13" t="b">
        <f t="shared" si="7"/>
        <v>0</v>
      </c>
    </row>
    <row r="124" spans="1:6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"/>
      <c r="E124" s="1" t="s">
        <v>76</v>
      </c>
      <c r="F124" s="13" t="b">
        <f t="shared" si="7"/>
        <v>0</v>
      </c>
    </row>
    <row r="125" spans="1:6" x14ac:dyDescent="0.3">
      <c r="A125" s="1">
        <v>194</v>
      </c>
      <c r="B125" s="17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"/>
      <c r="E125" s="1" t="s">
        <v>80</v>
      </c>
      <c r="F125" s="13" t="b">
        <f t="shared" si="7"/>
        <v>0</v>
      </c>
    </row>
    <row r="126" spans="1:6" x14ac:dyDescent="0.3">
      <c r="A126" s="1">
        <v>195</v>
      </c>
      <c r="B126" s="17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"/>
      <c r="E126" s="1" t="s">
        <v>79</v>
      </c>
      <c r="F126" s="13" t="b">
        <f t="shared" si="7"/>
        <v>0</v>
      </c>
    </row>
    <row r="127" spans="1:6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"/>
      <c r="E127" s="1" t="s">
        <v>76</v>
      </c>
      <c r="F127" s="13" t="b">
        <f t="shared" si="7"/>
        <v>0</v>
      </c>
    </row>
    <row r="128" spans="1:6" x14ac:dyDescent="0.3">
      <c r="A128" s="1">
        <v>197</v>
      </c>
      <c r="B128" s="17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"/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"/>
      <c r="E129" s="1" t="s">
        <v>252</v>
      </c>
      <c r="F129" s="13" t="b">
        <f t="shared" si="7"/>
        <v>0</v>
      </c>
    </row>
    <row r="130" spans="1:6" x14ac:dyDescent="0.3">
      <c r="A130" s="1">
        <v>199</v>
      </c>
      <c r="B130" s="17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"/>
      <c r="E130" s="1" t="s">
        <v>252</v>
      </c>
      <c r="F130" s="13" t="b">
        <f t="shared" si="7"/>
        <v>0</v>
      </c>
    </row>
    <row r="131" spans="1:6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"/>
      <c r="E131" s="1" t="s">
        <v>76</v>
      </c>
      <c r="F131" s="13" t="b">
        <f t="shared" ref="F131:F141" si="8">IF(D131=E131, TRUE, FALSE)</f>
        <v>0</v>
      </c>
    </row>
    <row r="132" spans="1:6" x14ac:dyDescent="0.3">
      <c r="A132" s="1">
        <v>201</v>
      </c>
      <c r="B132" s="17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"/>
      <c r="E132" s="1" t="s">
        <v>81</v>
      </c>
      <c r="F132" s="13" t="b">
        <f t="shared" si="8"/>
        <v>0</v>
      </c>
    </row>
    <row r="133" spans="1:6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"/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"/>
      <c r="E134" s="1" t="s">
        <v>79</v>
      </c>
      <c r="F134" s="13" t="b">
        <f t="shared" si="8"/>
        <v>0</v>
      </c>
    </row>
    <row r="135" spans="1:6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"/>
      <c r="E135" s="1" t="s">
        <v>80</v>
      </c>
      <c r="F135" s="13" t="b">
        <f t="shared" si="8"/>
        <v>0</v>
      </c>
    </row>
    <row r="136" spans="1:6" x14ac:dyDescent="0.3">
      <c r="A136" s="1">
        <v>205</v>
      </c>
      <c r="B136" s="17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"/>
      <c r="E136" s="1" t="s">
        <v>252</v>
      </c>
      <c r="F136" s="13" t="b">
        <f t="shared" si="8"/>
        <v>0</v>
      </c>
    </row>
    <row r="137" spans="1:6" x14ac:dyDescent="0.3">
      <c r="A137" s="1">
        <v>206</v>
      </c>
      <c r="B137" s="17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"/>
      <c r="E137" s="1" t="s">
        <v>252</v>
      </c>
      <c r="F137" s="13" t="b">
        <f t="shared" si="8"/>
        <v>0</v>
      </c>
    </row>
    <row r="138" spans="1:6" x14ac:dyDescent="0.3">
      <c r="A138" s="1">
        <v>207</v>
      </c>
      <c r="B138" s="17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"/>
      <c r="E138" s="1" t="s">
        <v>80</v>
      </c>
      <c r="F138" s="13" t="b">
        <f t="shared" si="8"/>
        <v>0</v>
      </c>
    </row>
    <row r="139" spans="1:6" x14ac:dyDescent="0.3">
      <c r="A139" s="1">
        <v>208</v>
      </c>
      <c r="B139" s="17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"/>
      <c r="E139" s="1" t="s">
        <v>77</v>
      </c>
      <c r="F139" s="13" t="b">
        <f t="shared" si="8"/>
        <v>0</v>
      </c>
    </row>
    <row r="140" spans="1:6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"/>
      <c r="E140" s="1" t="s">
        <v>79</v>
      </c>
      <c r="F140" s="13" t="b">
        <f t="shared" si="8"/>
        <v>0</v>
      </c>
    </row>
    <row r="141" spans="1:6" x14ac:dyDescent="0.3">
      <c r="A141" s="1">
        <v>210</v>
      </c>
      <c r="B141" s="17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"/>
      <c r="E141" s="1" t="s">
        <v>81</v>
      </c>
      <c r="F141" s="13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abSelected="1" topLeftCell="B1" zoomScale="85" zoomScaleNormal="85" workbookViewId="0">
      <selection activeCell="D2" sqref="D2:D211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18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158</v>
      </c>
      <c r="J2" s="4">
        <f>I2/H2</f>
        <v>0.75238095238095237</v>
      </c>
    </row>
    <row r="3" spans="1:11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18" t="s">
        <v>76</v>
      </c>
      <c r="E3" s="1" t="s">
        <v>76</v>
      </c>
      <c r="F3" s="13" t="b">
        <f t="shared" ref="F3:F66" si="0">IF(D3=E3, TRUE, FALSE)</f>
        <v>1</v>
      </c>
    </row>
    <row r="4" spans="1:11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18" t="s">
        <v>77</v>
      </c>
      <c r="E4" s="1" t="s">
        <v>79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214</v>
      </c>
      <c r="B5" s="17" t="s">
        <v>390</v>
      </c>
      <c r="C5" s="13" t="str" cm="1">
        <f t="array" ref="C5">_xlfn.IFS(LEN(B5) &lt;= 25, "Short", AND(LEN(B5) &gt; 25, LEN(B5) &lt;= 50), "Medium", LEN(B5) &gt; 50, "Long")</f>
        <v>Short</v>
      </c>
      <c r="D5" s="18" t="s">
        <v>80</v>
      </c>
      <c r="E5" s="1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7" t="s">
        <v>391</v>
      </c>
      <c r="C6" s="13" t="str" cm="1">
        <f t="array" ref="C6">_xlfn.IFS(LEN(B6) &lt;= 25, "Short", AND(LEN(B6) &gt; 25, LEN(B6) &lt;= 50), "Medium", LEN(B6) &gt; 50, "Long")</f>
        <v>Short</v>
      </c>
      <c r="D6" s="18" t="s">
        <v>82</v>
      </c>
      <c r="E6" s="1" t="s">
        <v>82</v>
      </c>
      <c r="F6" s="13" t="b">
        <f t="shared" si="0"/>
        <v>1</v>
      </c>
      <c r="H6" s="1" t="s">
        <v>252</v>
      </c>
      <c r="I6" s="1">
        <f>COUNTIF($E$2:$E$211,H6)</f>
        <v>30</v>
      </c>
      <c r="J6" s="1">
        <f>COUNTIFS($E$2:$E$211, H6, $D$2:$D$211, H6)</f>
        <v>26</v>
      </c>
      <c r="K6" s="3">
        <f>J6/I6</f>
        <v>0.8666666666666667</v>
      </c>
    </row>
    <row r="7" spans="1:11" x14ac:dyDescent="0.3">
      <c r="A7" s="1">
        <v>216</v>
      </c>
      <c r="B7" s="17" t="s">
        <v>296</v>
      </c>
      <c r="C7" s="13" t="str" cm="1">
        <f t="array" ref="C7">_xlfn.IFS(LEN(B7) &lt;= 25, "Short", AND(LEN(B7) &gt; 25, LEN(B7) &lt;= 50), "Medium", LEN(B7) &gt; 50, "Long")</f>
        <v>Short</v>
      </c>
      <c r="D7" s="18" t="s">
        <v>80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26</v>
      </c>
      <c r="K7" s="3">
        <f t="shared" ref="K7:K12" si="3">J7/I7</f>
        <v>0.8666666666666667</v>
      </c>
    </row>
    <row r="8" spans="1:11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18" t="s">
        <v>252</v>
      </c>
      <c r="E8" s="1" t="s">
        <v>252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19</v>
      </c>
      <c r="K8" s="3">
        <f t="shared" si="3"/>
        <v>0.6333333333333333</v>
      </c>
    </row>
    <row r="9" spans="1:11" x14ac:dyDescent="0.3">
      <c r="A9" s="1">
        <v>218</v>
      </c>
      <c r="B9" s="17" t="s">
        <v>392</v>
      </c>
      <c r="C9" s="13" t="str" cm="1">
        <f t="array" ref="C9">_xlfn.IFS(LEN(B9) &lt;= 25, "Short", AND(LEN(B9) &gt; 25, LEN(B9) &lt;= 50), "Medium", LEN(B9) &gt; 50, "Long")</f>
        <v>Short</v>
      </c>
      <c r="D9" s="18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22</v>
      </c>
      <c r="K9" s="3">
        <f t="shared" si="3"/>
        <v>0.73333333333333328</v>
      </c>
    </row>
    <row r="10" spans="1:11" x14ac:dyDescent="0.3">
      <c r="A10" s="1">
        <v>219</v>
      </c>
      <c r="B10" s="17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18" t="s">
        <v>79</v>
      </c>
      <c r="E10" s="1" t="s">
        <v>79</v>
      </c>
      <c r="F10" s="13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12</v>
      </c>
      <c r="K10" s="3">
        <f t="shared" si="3"/>
        <v>0.4</v>
      </c>
    </row>
    <row r="11" spans="1:11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8" t="s">
        <v>80</v>
      </c>
      <c r="E11" s="1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23</v>
      </c>
      <c r="K11" s="3">
        <f t="shared" si="3"/>
        <v>0.76666666666666672</v>
      </c>
    </row>
    <row r="12" spans="1:11" x14ac:dyDescent="0.3">
      <c r="A12" s="1">
        <v>221</v>
      </c>
      <c r="B12" s="17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18" t="s">
        <v>252</v>
      </c>
      <c r="E12" s="1" t="s">
        <v>252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30</v>
      </c>
      <c r="K12" s="3">
        <f t="shared" si="3"/>
        <v>1</v>
      </c>
    </row>
    <row r="13" spans="1:11" x14ac:dyDescent="0.3">
      <c r="A13" s="1">
        <v>222</v>
      </c>
      <c r="B13" s="17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18" t="s">
        <v>76</v>
      </c>
      <c r="E13" s="1" t="s">
        <v>82</v>
      </c>
      <c r="F13" s="13" t="b">
        <f t="shared" si="0"/>
        <v>0</v>
      </c>
    </row>
    <row r="14" spans="1:11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8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7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18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73</v>
      </c>
      <c r="K15" s="4">
        <f>J15/I15</f>
        <v>0.76041666666666663</v>
      </c>
    </row>
    <row r="16" spans="1:11" x14ac:dyDescent="0.3">
      <c r="A16" s="1">
        <v>225</v>
      </c>
      <c r="B16" s="17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18" t="s">
        <v>79</v>
      </c>
      <c r="E16" s="1" t="s">
        <v>81</v>
      </c>
      <c r="F16" s="13" t="b">
        <f t="shared" si="0"/>
        <v>0</v>
      </c>
      <c r="H16" s="6" t="s">
        <v>257</v>
      </c>
      <c r="I16" s="6">
        <f>COUNTIFS(C2:C211, H16)</f>
        <v>96</v>
      </c>
      <c r="J16" s="6">
        <f>COUNTIFS(C2:C211, H16, F2:F211, TRUE)</f>
        <v>72</v>
      </c>
      <c r="K16" s="4">
        <f t="shared" ref="K16:K17" si="4">J16/I16</f>
        <v>0.75</v>
      </c>
    </row>
    <row r="17" spans="1:11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8" t="s">
        <v>80</v>
      </c>
      <c r="E17" s="1" t="s">
        <v>80</v>
      </c>
      <c r="F17" s="13" t="b">
        <f t="shared" si="0"/>
        <v>1</v>
      </c>
      <c r="H17" s="6" t="s">
        <v>256</v>
      </c>
      <c r="I17" s="6">
        <f>COUNTIF(C2:C211, H17)</f>
        <v>18</v>
      </c>
      <c r="J17" s="6">
        <f>COUNTIFS(C2:C211, H17, F2:F211, TRUE)</f>
        <v>13</v>
      </c>
      <c r="K17" s="4">
        <f t="shared" si="4"/>
        <v>0.72222222222222221</v>
      </c>
    </row>
    <row r="18" spans="1:11" x14ac:dyDescent="0.3">
      <c r="A18" s="1">
        <v>227</v>
      </c>
      <c r="B18" s="17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18" t="s">
        <v>80</v>
      </c>
      <c r="E18" s="1" t="s">
        <v>80</v>
      </c>
      <c r="F18" s="13" t="b">
        <f t="shared" si="0"/>
        <v>1</v>
      </c>
    </row>
    <row r="19" spans="1:11" x14ac:dyDescent="0.3">
      <c r="A19" s="1">
        <v>228</v>
      </c>
      <c r="B19" s="17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18" t="s">
        <v>80</v>
      </c>
      <c r="E19" s="1" t="s">
        <v>82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229</v>
      </c>
      <c r="B20" s="17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18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7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18" t="s">
        <v>252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231</v>
      </c>
      <c r="B22" s="17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18" t="s">
        <v>77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7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18" t="s">
        <v>79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3.3333333333333333E-2</v>
      </c>
    </row>
    <row r="24" spans="1:11" x14ac:dyDescent="0.3">
      <c r="A24" s="1">
        <v>233</v>
      </c>
      <c r="B24" s="17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18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7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18" t="s">
        <v>77</v>
      </c>
      <c r="E25" s="1" t="s">
        <v>77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8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1</v>
      </c>
      <c r="K26" s="10">
        <f>J26/I7</f>
        <v>3.3333333333333333E-2</v>
      </c>
    </row>
    <row r="27" spans="1:11" x14ac:dyDescent="0.3">
      <c r="A27" s="1">
        <v>236</v>
      </c>
      <c r="B27" s="17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18" t="s">
        <v>252</v>
      </c>
      <c r="E27" s="1" t="s">
        <v>252</v>
      </c>
      <c r="F27" s="13" t="b">
        <f t="shared" si="0"/>
        <v>1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8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8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8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8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7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18" t="s">
        <v>81</v>
      </c>
      <c r="E32" s="1" t="s">
        <v>81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8" t="s">
        <v>81</v>
      </c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7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18" t="s">
        <v>82</v>
      </c>
      <c r="E34" s="1" t="s">
        <v>82</v>
      </c>
      <c r="F34" s="13" t="b">
        <f t="shared" si="0"/>
        <v>1</v>
      </c>
    </row>
    <row r="35" spans="1:6" x14ac:dyDescent="0.3">
      <c r="A35" s="1">
        <v>244</v>
      </c>
      <c r="B35" s="17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18" t="s">
        <v>79</v>
      </c>
      <c r="E35" s="1" t="s">
        <v>252</v>
      </c>
      <c r="F35" s="13" t="b">
        <f t="shared" si="0"/>
        <v>0</v>
      </c>
    </row>
    <row r="36" spans="1:6" x14ac:dyDescent="0.3">
      <c r="A36" s="1">
        <v>245</v>
      </c>
      <c r="B36" s="17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18" t="s">
        <v>81</v>
      </c>
      <c r="E36" s="1" t="s">
        <v>81</v>
      </c>
      <c r="F36" s="13" t="b">
        <f t="shared" si="0"/>
        <v>1</v>
      </c>
    </row>
    <row r="37" spans="1:6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8" t="s">
        <v>81</v>
      </c>
      <c r="E37" s="1" t="s">
        <v>81</v>
      </c>
      <c r="F37" s="13" t="b">
        <f t="shared" si="0"/>
        <v>1</v>
      </c>
    </row>
    <row r="38" spans="1:6" x14ac:dyDescent="0.3">
      <c r="A38" s="1">
        <v>247</v>
      </c>
      <c r="B38" s="17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18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8" t="s">
        <v>252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7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18" t="s">
        <v>252</v>
      </c>
      <c r="E40" s="1" t="s">
        <v>252</v>
      </c>
      <c r="F40" s="13" t="b">
        <f t="shared" si="0"/>
        <v>1</v>
      </c>
    </row>
    <row r="41" spans="1:6" x14ac:dyDescent="0.3">
      <c r="A41" s="1">
        <v>250</v>
      </c>
      <c r="B41" s="17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18" t="s">
        <v>252</v>
      </c>
      <c r="E41" s="1" t="s">
        <v>252</v>
      </c>
      <c r="F41" s="13" t="b">
        <f t="shared" si="0"/>
        <v>1</v>
      </c>
    </row>
    <row r="42" spans="1:6" x14ac:dyDescent="0.3">
      <c r="A42" s="1">
        <v>251</v>
      </c>
      <c r="B42" s="17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18" t="s">
        <v>79</v>
      </c>
      <c r="E42" s="1" t="s">
        <v>79</v>
      </c>
      <c r="F42" s="13" t="b">
        <f t="shared" si="0"/>
        <v>1</v>
      </c>
    </row>
    <row r="43" spans="1:6" x14ac:dyDescent="0.3">
      <c r="A43" s="1">
        <v>252</v>
      </c>
      <c r="B43" s="17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18" t="s">
        <v>82</v>
      </c>
      <c r="E43" s="1" t="s">
        <v>82</v>
      </c>
      <c r="F43" s="13" t="b">
        <f t="shared" si="0"/>
        <v>1</v>
      </c>
    </row>
    <row r="44" spans="1:6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8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254</v>
      </c>
      <c r="B45" s="17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18" t="s">
        <v>82</v>
      </c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7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18" t="s">
        <v>252</v>
      </c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7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18" t="s">
        <v>77</v>
      </c>
      <c r="E47" s="1" t="s">
        <v>77</v>
      </c>
      <c r="F47" s="13" t="b">
        <f t="shared" si="0"/>
        <v>1</v>
      </c>
    </row>
    <row r="48" spans="1:6" x14ac:dyDescent="0.3">
      <c r="A48" s="1">
        <v>257</v>
      </c>
      <c r="B48" s="17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18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8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8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8" t="s">
        <v>252</v>
      </c>
      <c r="E51" s="1" t="s">
        <v>79</v>
      </c>
      <c r="F51" s="13" t="b">
        <f t="shared" si="0"/>
        <v>0</v>
      </c>
    </row>
    <row r="52" spans="1:6" x14ac:dyDescent="0.3">
      <c r="A52" s="1">
        <v>261</v>
      </c>
      <c r="B52" s="17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18" t="s">
        <v>80</v>
      </c>
      <c r="E52" s="1" t="s">
        <v>80</v>
      </c>
      <c r="F52" s="13" t="b">
        <f t="shared" si="0"/>
        <v>1</v>
      </c>
    </row>
    <row r="53" spans="1:6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8" t="s">
        <v>77</v>
      </c>
      <c r="E53" s="1" t="s">
        <v>77</v>
      </c>
      <c r="F53" s="13" t="b">
        <f t="shared" si="0"/>
        <v>1</v>
      </c>
    </row>
    <row r="54" spans="1:6" x14ac:dyDescent="0.3">
      <c r="A54" s="1">
        <v>263</v>
      </c>
      <c r="B54" s="17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18" t="s">
        <v>82</v>
      </c>
      <c r="E54" s="1" t="s">
        <v>82</v>
      </c>
      <c r="F54" s="13" t="b">
        <f t="shared" si="0"/>
        <v>1</v>
      </c>
    </row>
    <row r="55" spans="1:6" x14ac:dyDescent="0.3">
      <c r="A55" s="1">
        <v>264</v>
      </c>
      <c r="B55" s="17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18" t="s">
        <v>80</v>
      </c>
      <c r="E55" s="1" t="s">
        <v>80</v>
      </c>
      <c r="F55" s="13" t="b">
        <f t="shared" si="0"/>
        <v>1</v>
      </c>
    </row>
    <row r="56" spans="1:6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8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7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18" t="s">
        <v>76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7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18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8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7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18" t="s">
        <v>82</v>
      </c>
      <c r="E60" s="1" t="s">
        <v>82</v>
      </c>
      <c r="F60" s="13" t="b">
        <f t="shared" si="0"/>
        <v>1</v>
      </c>
    </row>
    <row r="61" spans="1:6" x14ac:dyDescent="0.3">
      <c r="A61" s="1">
        <v>270</v>
      </c>
      <c r="B61" s="17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18" t="s">
        <v>81</v>
      </c>
      <c r="E61" s="1" t="s">
        <v>81</v>
      </c>
      <c r="F61" s="13" t="b">
        <f t="shared" si="0"/>
        <v>1</v>
      </c>
    </row>
    <row r="62" spans="1:6" x14ac:dyDescent="0.3">
      <c r="A62" s="1">
        <v>271</v>
      </c>
      <c r="B62" s="17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18" t="s">
        <v>81</v>
      </c>
      <c r="E62" s="1" t="s">
        <v>81</v>
      </c>
      <c r="F62" s="13" t="b">
        <f t="shared" si="0"/>
        <v>1</v>
      </c>
    </row>
    <row r="63" spans="1:6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8" t="s">
        <v>252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7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18" t="s">
        <v>80</v>
      </c>
      <c r="E64" s="1" t="s">
        <v>77</v>
      </c>
      <c r="F64" s="13" t="b">
        <f t="shared" si="0"/>
        <v>0</v>
      </c>
    </row>
    <row r="65" spans="1:6" x14ac:dyDescent="0.3">
      <c r="A65" s="1">
        <v>274</v>
      </c>
      <c r="B65" s="17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18" t="s">
        <v>80</v>
      </c>
      <c r="E65" s="1" t="s">
        <v>80</v>
      </c>
      <c r="F65" s="13" t="b">
        <f t="shared" si="0"/>
        <v>1</v>
      </c>
    </row>
    <row r="66" spans="1:6" x14ac:dyDescent="0.3">
      <c r="A66" s="1">
        <v>275</v>
      </c>
      <c r="B66" s="17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18" t="s">
        <v>77</v>
      </c>
      <c r="E66" s="1" t="s">
        <v>77</v>
      </c>
      <c r="F66" s="13" t="b">
        <f t="shared" si="0"/>
        <v>1</v>
      </c>
    </row>
    <row r="67" spans="1:6" x14ac:dyDescent="0.3">
      <c r="A67" s="1">
        <v>276</v>
      </c>
      <c r="B67" s="17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18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7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18" t="s">
        <v>252</v>
      </c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8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7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18" t="s">
        <v>252</v>
      </c>
      <c r="E70" s="1" t="s">
        <v>252</v>
      </c>
      <c r="F70" s="13" t="b">
        <f t="shared" si="7"/>
        <v>1</v>
      </c>
    </row>
    <row r="71" spans="1:6" x14ac:dyDescent="0.3">
      <c r="A71" s="1">
        <v>280</v>
      </c>
      <c r="B71" s="17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18" t="s">
        <v>252</v>
      </c>
      <c r="E71" s="1" t="s">
        <v>77</v>
      </c>
      <c r="F71" s="13" t="b">
        <f t="shared" si="7"/>
        <v>0</v>
      </c>
    </row>
    <row r="72" spans="1:6" x14ac:dyDescent="0.3">
      <c r="A72" s="1">
        <v>281</v>
      </c>
      <c r="B72" s="17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18" t="s">
        <v>82</v>
      </c>
      <c r="E72" s="1" t="s">
        <v>82</v>
      </c>
      <c r="F72" s="13" t="b">
        <f t="shared" si="7"/>
        <v>1</v>
      </c>
    </row>
    <row r="73" spans="1:6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8" t="s">
        <v>252</v>
      </c>
      <c r="E73" s="1" t="s">
        <v>252</v>
      </c>
      <c r="F73" s="13" t="b">
        <f t="shared" si="7"/>
        <v>1</v>
      </c>
    </row>
    <row r="74" spans="1:6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8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7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18" t="s">
        <v>79</v>
      </c>
      <c r="E75" s="1" t="s">
        <v>79</v>
      </c>
      <c r="F75" s="13" t="b">
        <f t="shared" si="7"/>
        <v>1</v>
      </c>
    </row>
    <row r="76" spans="1:6" x14ac:dyDescent="0.3">
      <c r="A76" s="1">
        <v>285</v>
      </c>
      <c r="B76" s="17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18" t="s">
        <v>77</v>
      </c>
      <c r="E76" s="1" t="s">
        <v>77</v>
      </c>
      <c r="F76" s="13" t="b">
        <f t="shared" si="7"/>
        <v>1</v>
      </c>
    </row>
    <row r="77" spans="1:6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8" t="s">
        <v>79</v>
      </c>
      <c r="E77" s="1" t="s">
        <v>79</v>
      </c>
      <c r="F77" s="13" t="b">
        <f t="shared" si="7"/>
        <v>1</v>
      </c>
    </row>
    <row r="78" spans="1:6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8" t="s">
        <v>252</v>
      </c>
      <c r="E78" s="1" t="s">
        <v>252</v>
      </c>
      <c r="F78" s="13" t="b">
        <f t="shared" si="7"/>
        <v>1</v>
      </c>
    </row>
    <row r="79" spans="1:6" x14ac:dyDescent="0.3">
      <c r="A79" s="1">
        <v>288</v>
      </c>
      <c r="B79" s="17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18" t="s">
        <v>82</v>
      </c>
      <c r="E79" s="1" t="s">
        <v>82</v>
      </c>
      <c r="F79" s="13" t="b">
        <f t="shared" si="7"/>
        <v>1</v>
      </c>
    </row>
    <row r="80" spans="1:6" x14ac:dyDescent="0.3">
      <c r="A80" s="1">
        <v>289</v>
      </c>
      <c r="B80" s="17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18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7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18" t="s">
        <v>81</v>
      </c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8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8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7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18" t="s">
        <v>81</v>
      </c>
      <c r="E84" s="1" t="s">
        <v>81</v>
      </c>
      <c r="F84" s="13" t="b">
        <f t="shared" si="7"/>
        <v>1</v>
      </c>
    </row>
    <row r="85" spans="1:6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8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7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18" t="s">
        <v>81</v>
      </c>
      <c r="E86" s="1" t="s">
        <v>252</v>
      </c>
      <c r="F86" s="13" t="b">
        <f t="shared" si="7"/>
        <v>0</v>
      </c>
    </row>
    <row r="87" spans="1:6" x14ac:dyDescent="0.3">
      <c r="A87" s="1">
        <v>296</v>
      </c>
      <c r="B87" s="17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18" t="s">
        <v>77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7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18" t="s">
        <v>77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7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18" t="s">
        <v>82</v>
      </c>
      <c r="E89" s="1" t="s">
        <v>82</v>
      </c>
      <c r="F89" s="13" t="b">
        <f t="shared" si="7"/>
        <v>1</v>
      </c>
    </row>
    <row r="90" spans="1:6" x14ac:dyDescent="0.3">
      <c r="A90" s="1">
        <v>299</v>
      </c>
      <c r="B90" s="17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18" t="s">
        <v>77</v>
      </c>
      <c r="E90" s="1" t="s">
        <v>77</v>
      </c>
      <c r="F90" s="13" t="b">
        <f t="shared" si="7"/>
        <v>1</v>
      </c>
    </row>
    <row r="91" spans="1:6" x14ac:dyDescent="0.3">
      <c r="A91" s="1">
        <v>300</v>
      </c>
      <c r="B91" s="17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18" t="s">
        <v>76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8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7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18" t="s">
        <v>82</v>
      </c>
      <c r="E93" s="1" t="s">
        <v>82</v>
      </c>
      <c r="F93" s="13" t="b">
        <f t="shared" si="7"/>
        <v>1</v>
      </c>
    </row>
    <row r="94" spans="1:6" x14ac:dyDescent="0.3">
      <c r="A94" s="1">
        <v>303</v>
      </c>
      <c r="B94" s="17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18" t="s">
        <v>252</v>
      </c>
      <c r="E94" s="1" t="s">
        <v>252</v>
      </c>
      <c r="F94" s="13" t="b">
        <f t="shared" si="7"/>
        <v>1</v>
      </c>
    </row>
    <row r="95" spans="1:6" x14ac:dyDescent="0.3">
      <c r="A95" s="1">
        <v>304</v>
      </c>
      <c r="B95" s="17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18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7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18" t="s">
        <v>79</v>
      </c>
      <c r="E96" s="1" t="s">
        <v>79</v>
      </c>
      <c r="F96" s="13" t="b">
        <f t="shared" si="7"/>
        <v>1</v>
      </c>
    </row>
    <row r="97" spans="1:6" x14ac:dyDescent="0.3">
      <c r="A97" s="1">
        <v>306</v>
      </c>
      <c r="B97" s="17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18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7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18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308</v>
      </c>
      <c r="B99" s="17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18" t="s">
        <v>252</v>
      </c>
      <c r="E99" s="1" t="s">
        <v>252</v>
      </c>
      <c r="F99" s="13" t="b">
        <f t="shared" si="7"/>
        <v>1</v>
      </c>
    </row>
    <row r="100" spans="1:6" x14ac:dyDescent="0.3">
      <c r="A100" s="1">
        <v>309</v>
      </c>
      <c r="B100" s="17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18" t="s">
        <v>77</v>
      </c>
      <c r="E100" s="1" t="s">
        <v>77</v>
      </c>
      <c r="F100" s="13" t="b">
        <f t="shared" si="7"/>
        <v>1</v>
      </c>
    </row>
    <row r="101" spans="1:6" x14ac:dyDescent="0.3">
      <c r="A101" s="1">
        <v>310</v>
      </c>
      <c r="B101" s="17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18" t="s">
        <v>80</v>
      </c>
      <c r="E101" s="1" t="s">
        <v>80</v>
      </c>
      <c r="F101" s="13" t="b">
        <f t="shared" si="7"/>
        <v>1</v>
      </c>
    </row>
    <row r="102" spans="1:6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8" t="s">
        <v>77</v>
      </c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7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18" t="s">
        <v>252</v>
      </c>
      <c r="E103" s="1" t="s">
        <v>252</v>
      </c>
      <c r="F103" s="13" t="b">
        <f t="shared" si="7"/>
        <v>1</v>
      </c>
    </row>
    <row r="104" spans="1:6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8" t="s">
        <v>80</v>
      </c>
      <c r="E104" s="1" t="s">
        <v>80</v>
      </c>
      <c r="F104" s="13" t="b">
        <f t="shared" si="7"/>
        <v>1</v>
      </c>
    </row>
    <row r="105" spans="1:6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8" t="s">
        <v>80</v>
      </c>
      <c r="E105" s="1" t="s">
        <v>80</v>
      </c>
      <c r="F105" s="13" t="b">
        <f t="shared" si="7"/>
        <v>1</v>
      </c>
    </row>
    <row r="106" spans="1:6" x14ac:dyDescent="0.3">
      <c r="A106" s="1">
        <v>315</v>
      </c>
      <c r="B106" s="17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18" t="s">
        <v>79</v>
      </c>
      <c r="E106" s="1" t="s">
        <v>79</v>
      </c>
      <c r="F106" s="13" t="b">
        <f t="shared" si="7"/>
        <v>1</v>
      </c>
    </row>
    <row r="107" spans="1:6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8" t="s">
        <v>77</v>
      </c>
      <c r="E107" s="1" t="s">
        <v>77</v>
      </c>
      <c r="F107" s="13" t="b">
        <f t="shared" si="7"/>
        <v>1</v>
      </c>
    </row>
    <row r="108" spans="1:6" x14ac:dyDescent="0.3">
      <c r="A108" s="1">
        <v>317</v>
      </c>
      <c r="B108" s="17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18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8" t="s">
        <v>76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7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18" t="s">
        <v>252</v>
      </c>
      <c r="E110" s="1" t="s">
        <v>252</v>
      </c>
      <c r="F110" s="13" t="b">
        <f t="shared" si="7"/>
        <v>1</v>
      </c>
    </row>
    <row r="111" spans="1:6" x14ac:dyDescent="0.3">
      <c r="A111" s="1">
        <v>320</v>
      </c>
      <c r="B111" s="17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18" t="s">
        <v>82</v>
      </c>
      <c r="E111" s="1" t="s">
        <v>82</v>
      </c>
      <c r="F111" s="13" t="b">
        <f t="shared" si="7"/>
        <v>1</v>
      </c>
    </row>
    <row r="112" spans="1:6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8" t="s">
        <v>77</v>
      </c>
      <c r="E112" s="1" t="s">
        <v>77</v>
      </c>
      <c r="F112" s="13" t="b">
        <f t="shared" si="7"/>
        <v>1</v>
      </c>
    </row>
    <row r="113" spans="1:6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8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8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7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18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8" t="s">
        <v>252</v>
      </c>
      <c r="E116" s="1" t="s">
        <v>252</v>
      </c>
      <c r="F116" s="13" t="b">
        <f t="shared" si="7"/>
        <v>1</v>
      </c>
    </row>
    <row r="117" spans="1:6" x14ac:dyDescent="0.3">
      <c r="A117" s="1">
        <v>326</v>
      </c>
      <c r="B117" s="17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18" t="s">
        <v>77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8" t="s">
        <v>252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7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18" t="s">
        <v>252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8" t="s">
        <v>79</v>
      </c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8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331</v>
      </c>
      <c r="B122" s="17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18" t="s">
        <v>252</v>
      </c>
      <c r="E122" s="1" t="s">
        <v>79</v>
      </c>
      <c r="F122" s="13" t="b">
        <f t="shared" si="7"/>
        <v>0</v>
      </c>
    </row>
    <row r="123" spans="1:6" x14ac:dyDescent="0.3">
      <c r="A123" s="1">
        <v>332</v>
      </c>
      <c r="B123" s="17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18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7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18" t="s">
        <v>79</v>
      </c>
      <c r="E124" s="1" t="s">
        <v>79</v>
      </c>
      <c r="F124" s="13" t="b">
        <f t="shared" si="7"/>
        <v>1</v>
      </c>
    </row>
    <row r="125" spans="1:6" x14ac:dyDescent="0.3">
      <c r="A125" s="1">
        <v>334</v>
      </c>
      <c r="B125" s="17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18" t="s">
        <v>82</v>
      </c>
      <c r="E125" s="1" t="s">
        <v>82</v>
      </c>
      <c r="F125" s="13" t="b">
        <f t="shared" si="7"/>
        <v>1</v>
      </c>
    </row>
    <row r="126" spans="1:6" x14ac:dyDescent="0.3">
      <c r="A126" s="1">
        <v>335</v>
      </c>
      <c r="B126" s="17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18" t="s">
        <v>77</v>
      </c>
      <c r="E126" s="1" t="s">
        <v>77</v>
      </c>
      <c r="F126" s="13" t="b">
        <f t="shared" si="7"/>
        <v>1</v>
      </c>
    </row>
    <row r="127" spans="1:6" x14ac:dyDescent="0.3">
      <c r="A127" s="1">
        <v>336</v>
      </c>
      <c r="B127" s="17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18" t="s">
        <v>80</v>
      </c>
      <c r="E127" s="1" t="s">
        <v>80</v>
      </c>
      <c r="F127" s="13" t="b">
        <f t="shared" si="7"/>
        <v>1</v>
      </c>
    </row>
    <row r="128" spans="1:6" x14ac:dyDescent="0.3">
      <c r="A128" s="1">
        <v>337</v>
      </c>
      <c r="B128" s="17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18" t="s">
        <v>77</v>
      </c>
      <c r="E128" s="1" t="s">
        <v>81</v>
      </c>
      <c r="F128" s="13" t="b">
        <f t="shared" si="7"/>
        <v>0</v>
      </c>
    </row>
    <row r="129" spans="1:6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8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8" t="s">
        <v>76</v>
      </c>
      <c r="E130" s="1" t="s">
        <v>76</v>
      </c>
      <c r="F130" s="13" t="b">
        <f t="shared" si="7"/>
        <v>1</v>
      </c>
    </row>
    <row r="131" spans="1:6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8" t="s">
        <v>79</v>
      </c>
      <c r="E131" s="1" t="s">
        <v>79</v>
      </c>
      <c r="F131" s="13" t="b">
        <f t="shared" ref="F131:F194" si="8">IF(D131=E131, TRUE, FALSE)</f>
        <v>1</v>
      </c>
    </row>
    <row r="132" spans="1:6" x14ac:dyDescent="0.3">
      <c r="A132" s="1">
        <v>341</v>
      </c>
      <c r="B132" s="17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18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8" t="s">
        <v>80</v>
      </c>
      <c r="E133" s="1" t="s">
        <v>80</v>
      </c>
      <c r="F133" s="13" t="b">
        <f t="shared" si="8"/>
        <v>1</v>
      </c>
    </row>
    <row r="134" spans="1:6" x14ac:dyDescent="0.3">
      <c r="A134" s="1">
        <v>343</v>
      </c>
      <c r="B134" s="17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18" t="s">
        <v>252</v>
      </c>
      <c r="E134" s="1" t="s">
        <v>252</v>
      </c>
      <c r="F134" s="13" t="b">
        <f t="shared" si="8"/>
        <v>1</v>
      </c>
    </row>
    <row r="135" spans="1:6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8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7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18" t="s">
        <v>252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8" t="s">
        <v>81</v>
      </c>
      <c r="E137" s="1" t="s">
        <v>81</v>
      </c>
      <c r="F137" s="13" t="b">
        <f t="shared" si="8"/>
        <v>1</v>
      </c>
    </row>
    <row r="138" spans="1:6" x14ac:dyDescent="0.3">
      <c r="A138" s="1">
        <v>347</v>
      </c>
      <c r="B138" s="17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18" t="s">
        <v>77</v>
      </c>
      <c r="E138" s="1" t="s">
        <v>77</v>
      </c>
      <c r="F138" s="13" t="b">
        <f t="shared" si="8"/>
        <v>1</v>
      </c>
    </row>
    <row r="139" spans="1:6" x14ac:dyDescent="0.3">
      <c r="A139" s="1">
        <v>348</v>
      </c>
      <c r="B139" s="17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18" t="s">
        <v>77</v>
      </c>
      <c r="E139" s="1" t="s">
        <v>77</v>
      </c>
      <c r="F139" s="13" t="b">
        <f t="shared" si="8"/>
        <v>1</v>
      </c>
    </row>
    <row r="140" spans="1:6" x14ac:dyDescent="0.3">
      <c r="A140" s="1">
        <v>349</v>
      </c>
      <c r="B140" s="17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18" t="s">
        <v>80</v>
      </c>
      <c r="E140" s="1" t="s">
        <v>80</v>
      </c>
      <c r="F140" s="13" t="b">
        <f t="shared" si="8"/>
        <v>1</v>
      </c>
    </row>
    <row r="141" spans="1:6" x14ac:dyDescent="0.3">
      <c r="A141" s="1">
        <v>350</v>
      </c>
      <c r="B141" s="17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18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7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18" t="s">
        <v>252</v>
      </c>
      <c r="E142" s="1" t="s">
        <v>79</v>
      </c>
      <c r="F142" s="13" t="b">
        <f t="shared" si="8"/>
        <v>0</v>
      </c>
    </row>
    <row r="143" spans="1:6" x14ac:dyDescent="0.3">
      <c r="A143" s="1">
        <v>352</v>
      </c>
      <c r="B143" s="17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18" t="s">
        <v>77</v>
      </c>
      <c r="E143" s="1" t="s">
        <v>77</v>
      </c>
      <c r="F143" s="13" t="b">
        <f t="shared" si="8"/>
        <v>1</v>
      </c>
    </row>
    <row r="144" spans="1:6" x14ac:dyDescent="0.3">
      <c r="A144" s="1">
        <v>353</v>
      </c>
      <c r="B144" s="17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18" t="s">
        <v>79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8" t="s">
        <v>76</v>
      </c>
      <c r="E145" s="1" t="s">
        <v>76</v>
      </c>
      <c r="F145" s="13" t="b">
        <f t="shared" si="8"/>
        <v>1</v>
      </c>
    </row>
    <row r="146" spans="1:6" x14ac:dyDescent="0.3">
      <c r="A146" s="1">
        <v>355</v>
      </c>
      <c r="B146" s="17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18" t="s">
        <v>80</v>
      </c>
      <c r="E146" s="1" t="s">
        <v>80</v>
      </c>
      <c r="F146" s="13" t="b">
        <f t="shared" si="8"/>
        <v>1</v>
      </c>
    </row>
    <row r="147" spans="1:6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8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8" t="s">
        <v>80</v>
      </c>
      <c r="E148" s="1" t="s">
        <v>79</v>
      </c>
      <c r="F148" s="13" t="b">
        <f t="shared" si="8"/>
        <v>0</v>
      </c>
    </row>
    <row r="149" spans="1:6" x14ac:dyDescent="0.3">
      <c r="A149" s="1">
        <v>358</v>
      </c>
      <c r="B149" s="17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18" t="s">
        <v>81</v>
      </c>
      <c r="E149" s="1" t="s">
        <v>81</v>
      </c>
      <c r="F149" s="13" t="b">
        <f t="shared" si="8"/>
        <v>1</v>
      </c>
    </row>
    <row r="150" spans="1:6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8" t="s">
        <v>82</v>
      </c>
      <c r="E150" s="1" t="s">
        <v>82</v>
      </c>
      <c r="F150" s="13" t="b">
        <f t="shared" si="8"/>
        <v>1</v>
      </c>
    </row>
    <row r="151" spans="1:6" x14ac:dyDescent="0.3">
      <c r="A151" s="1">
        <v>360</v>
      </c>
      <c r="B151" s="17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18" t="s">
        <v>80</v>
      </c>
      <c r="E151" s="1" t="s">
        <v>80</v>
      </c>
      <c r="F151" s="13" t="b">
        <f t="shared" si="8"/>
        <v>1</v>
      </c>
    </row>
    <row r="152" spans="1:6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8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7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18" t="s">
        <v>77</v>
      </c>
      <c r="E153" s="1" t="s">
        <v>77</v>
      </c>
      <c r="F153" s="13" t="b">
        <f t="shared" si="8"/>
        <v>1</v>
      </c>
    </row>
    <row r="154" spans="1:6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8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7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18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7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18" t="s">
        <v>76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8" t="s">
        <v>252</v>
      </c>
      <c r="E157" s="1" t="s">
        <v>252</v>
      </c>
      <c r="F157" s="13" t="b">
        <f t="shared" si="8"/>
        <v>1</v>
      </c>
    </row>
    <row r="158" spans="1:6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8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8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8" t="s">
        <v>77</v>
      </c>
      <c r="E160" s="1" t="s">
        <v>79</v>
      </c>
      <c r="F160" s="13" t="b">
        <f t="shared" si="8"/>
        <v>0</v>
      </c>
    </row>
    <row r="161" spans="1:6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8" t="s">
        <v>77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7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18" t="s">
        <v>80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8" t="s">
        <v>252</v>
      </c>
      <c r="E163" s="1" t="s">
        <v>252</v>
      </c>
      <c r="F163" s="13" t="b">
        <f t="shared" si="8"/>
        <v>1</v>
      </c>
    </row>
    <row r="164" spans="1:6" x14ac:dyDescent="0.3">
      <c r="A164" s="1">
        <v>373</v>
      </c>
      <c r="B164" s="17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18" t="s">
        <v>79</v>
      </c>
      <c r="E164" s="1" t="s">
        <v>79</v>
      </c>
      <c r="F164" s="13" t="b">
        <f t="shared" si="8"/>
        <v>1</v>
      </c>
    </row>
    <row r="165" spans="1:6" x14ac:dyDescent="0.3">
      <c r="A165" s="1">
        <v>374</v>
      </c>
      <c r="B165" s="17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18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7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18" t="s">
        <v>77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7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18" t="s">
        <v>77</v>
      </c>
      <c r="E167" s="1" t="s">
        <v>77</v>
      </c>
      <c r="F167" s="13" t="b">
        <f t="shared" si="8"/>
        <v>1</v>
      </c>
    </row>
    <row r="168" spans="1:6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8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7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18" t="s">
        <v>77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7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18" t="s">
        <v>77</v>
      </c>
      <c r="E170" s="1" t="s">
        <v>77</v>
      </c>
      <c r="F170" s="13" t="b">
        <f t="shared" si="8"/>
        <v>1</v>
      </c>
    </row>
    <row r="171" spans="1:6" x14ac:dyDescent="0.3">
      <c r="A171" s="1">
        <v>380</v>
      </c>
      <c r="B171" s="17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18" t="s">
        <v>80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7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18" t="s">
        <v>252</v>
      </c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8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7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18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8" t="s">
        <v>80</v>
      </c>
      <c r="E175" s="1" t="s">
        <v>80</v>
      </c>
      <c r="F175" s="13" t="b">
        <f t="shared" si="8"/>
        <v>1</v>
      </c>
    </row>
    <row r="176" spans="1:6" x14ac:dyDescent="0.3">
      <c r="A176" s="1">
        <v>385</v>
      </c>
      <c r="B176" s="17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18" t="s">
        <v>77</v>
      </c>
      <c r="E176" s="1" t="s">
        <v>77</v>
      </c>
      <c r="F176" s="13" t="b">
        <f t="shared" si="8"/>
        <v>1</v>
      </c>
    </row>
    <row r="177" spans="1:6" x14ac:dyDescent="0.3">
      <c r="A177" s="1">
        <v>386</v>
      </c>
      <c r="B177" s="17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18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7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18" t="s">
        <v>81</v>
      </c>
      <c r="E178" s="1" t="s">
        <v>81</v>
      </c>
      <c r="F178" s="13" t="b">
        <f t="shared" si="8"/>
        <v>1</v>
      </c>
    </row>
    <row r="179" spans="1:6" x14ac:dyDescent="0.3">
      <c r="A179" s="1">
        <v>388</v>
      </c>
      <c r="B179" s="17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18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8" t="s">
        <v>252</v>
      </c>
      <c r="E180" s="1" t="s">
        <v>252</v>
      </c>
      <c r="F180" s="13" t="b">
        <f t="shared" si="8"/>
        <v>1</v>
      </c>
    </row>
    <row r="181" spans="1:6" x14ac:dyDescent="0.3">
      <c r="A181" s="1">
        <v>390</v>
      </c>
      <c r="B181" s="17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18" t="s">
        <v>80</v>
      </c>
      <c r="E181" s="1" t="s">
        <v>80</v>
      </c>
      <c r="F181" s="13" t="b">
        <f t="shared" si="8"/>
        <v>1</v>
      </c>
    </row>
    <row r="182" spans="1:6" x14ac:dyDescent="0.3">
      <c r="A182" s="1">
        <v>391</v>
      </c>
      <c r="B182" s="17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18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7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18" t="s">
        <v>252</v>
      </c>
      <c r="E183" s="1" t="s">
        <v>252</v>
      </c>
      <c r="F183" s="13" t="b">
        <f t="shared" si="8"/>
        <v>1</v>
      </c>
    </row>
    <row r="184" spans="1:6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8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7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18" t="s">
        <v>252</v>
      </c>
      <c r="E185" s="1" t="s">
        <v>252</v>
      </c>
      <c r="F185" s="13" t="b">
        <f t="shared" si="8"/>
        <v>1</v>
      </c>
    </row>
    <row r="186" spans="1:6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8" t="s">
        <v>79</v>
      </c>
      <c r="E186" s="1" t="s">
        <v>79</v>
      </c>
      <c r="F186" s="13" t="b">
        <f t="shared" si="8"/>
        <v>1</v>
      </c>
    </row>
    <row r="187" spans="1:6" x14ac:dyDescent="0.3">
      <c r="A187" s="1">
        <v>396</v>
      </c>
      <c r="B187" s="17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18" t="s">
        <v>77</v>
      </c>
      <c r="E187" s="1" t="s">
        <v>77</v>
      </c>
      <c r="F187" s="13" t="b">
        <f t="shared" si="8"/>
        <v>1</v>
      </c>
    </row>
    <row r="188" spans="1:6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8" t="s">
        <v>252</v>
      </c>
      <c r="E188" s="1" t="s">
        <v>252</v>
      </c>
      <c r="F188" s="13" t="b">
        <f t="shared" si="8"/>
        <v>1</v>
      </c>
    </row>
    <row r="189" spans="1:6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8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7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18" t="s">
        <v>77</v>
      </c>
      <c r="E190" s="1" t="s">
        <v>77</v>
      </c>
      <c r="F190" s="13" t="b">
        <f t="shared" si="8"/>
        <v>1</v>
      </c>
    </row>
    <row r="191" spans="1:6" x14ac:dyDescent="0.3">
      <c r="A191" s="1">
        <v>400</v>
      </c>
      <c r="B191" s="17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18" t="s">
        <v>81</v>
      </c>
      <c r="E191" s="1" t="s">
        <v>81</v>
      </c>
      <c r="F191" s="13" t="b">
        <f t="shared" si="8"/>
        <v>1</v>
      </c>
    </row>
    <row r="192" spans="1:6" x14ac:dyDescent="0.3">
      <c r="A192" s="1">
        <v>401</v>
      </c>
      <c r="B192" s="17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18" t="s">
        <v>252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7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18" t="s">
        <v>252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7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18" t="s">
        <v>81</v>
      </c>
      <c r="E194" s="1" t="s">
        <v>81</v>
      </c>
      <c r="F194" s="13" t="b">
        <f t="shared" si="8"/>
        <v>1</v>
      </c>
    </row>
    <row r="195" spans="1:6" x14ac:dyDescent="0.3">
      <c r="A195" s="1">
        <v>404</v>
      </c>
      <c r="B195" s="17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18" t="s">
        <v>252</v>
      </c>
      <c r="E195" s="1" t="s">
        <v>252</v>
      </c>
      <c r="F195" s="13" t="b">
        <f t="shared" ref="F195:F211" si="9">IF(D195=E195, TRUE, FALSE)</f>
        <v>1</v>
      </c>
    </row>
    <row r="196" spans="1:6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8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8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8" t="s">
        <v>252</v>
      </c>
      <c r="E198" s="1" t="s">
        <v>252</v>
      </c>
      <c r="F198" s="13" t="b">
        <f t="shared" si="9"/>
        <v>1</v>
      </c>
    </row>
    <row r="199" spans="1:6" x14ac:dyDescent="0.3">
      <c r="A199" s="1">
        <v>408</v>
      </c>
      <c r="B199" s="17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18" t="s">
        <v>252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7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18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8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7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18" t="s">
        <v>77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7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18" t="s">
        <v>77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7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18" t="s">
        <v>80</v>
      </c>
      <c r="E204" s="1" t="s">
        <v>80</v>
      </c>
      <c r="F204" s="13" t="b">
        <f t="shared" si="9"/>
        <v>1</v>
      </c>
    </row>
    <row r="205" spans="1:6" x14ac:dyDescent="0.3">
      <c r="A205" s="1">
        <v>414</v>
      </c>
      <c r="B205" s="17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18" t="s">
        <v>81</v>
      </c>
      <c r="E205" s="1" t="s">
        <v>81</v>
      </c>
      <c r="F205" s="13" t="b">
        <f t="shared" si="9"/>
        <v>1</v>
      </c>
    </row>
    <row r="206" spans="1:6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8" t="s">
        <v>79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7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18" t="s">
        <v>252</v>
      </c>
      <c r="E207" s="1" t="s">
        <v>252</v>
      </c>
      <c r="F207" s="13" t="b">
        <f t="shared" si="9"/>
        <v>1</v>
      </c>
    </row>
    <row r="208" spans="1:6" x14ac:dyDescent="0.3">
      <c r="A208" s="1">
        <v>417</v>
      </c>
      <c r="B208" s="17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18" t="s">
        <v>252</v>
      </c>
      <c r="E208" s="1" t="s">
        <v>252</v>
      </c>
      <c r="F208" s="13" t="b">
        <f t="shared" si="9"/>
        <v>1</v>
      </c>
    </row>
    <row r="209" spans="1:6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8" t="s">
        <v>80</v>
      </c>
      <c r="E209" s="1" t="s">
        <v>80</v>
      </c>
      <c r="F209" s="13" t="b">
        <f t="shared" si="9"/>
        <v>1</v>
      </c>
    </row>
    <row r="210" spans="1:6" x14ac:dyDescent="0.3">
      <c r="A210" s="1">
        <v>419</v>
      </c>
      <c r="B210" s="17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18" t="s">
        <v>76</v>
      </c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8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F95D-5278-4841-A61A-A37118040451}">
  <dimension ref="A1:C210"/>
  <sheetViews>
    <sheetView topLeftCell="A187" workbookViewId="0">
      <selection activeCell="C1" sqref="C1:C210"/>
    </sheetView>
  </sheetViews>
  <sheetFormatPr defaultRowHeight="14.4" x14ac:dyDescent="0.3"/>
  <sheetData>
    <row r="1" spans="1:3" x14ac:dyDescent="0.3">
      <c r="A1">
        <v>1</v>
      </c>
      <c r="B1" t="s">
        <v>48</v>
      </c>
      <c r="C1" t="s">
        <v>81</v>
      </c>
    </row>
    <row r="2" spans="1:3" x14ac:dyDescent="0.3">
      <c r="A2">
        <v>2</v>
      </c>
      <c r="B2" t="s">
        <v>106</v>
      </c>
      <c r="C2" t="s">
        <v>76</v>
      </c>
    </row>
    <row r="3" spans="1:3" x14ac:dyDescent="0.3">
      <c r="A3">
        <v>3</v>
      </c>
      <c r="B3" t="s">
        <v>156</v>
      </c>
      <c r="C3" t="s">
        <v>77</v>
      </c>
    </row>
    <row r="4" spans="1:3" x14ac:dyDescent="0.3">
      <c r="A4">
        <v>4</v>
      </c>
      <c r="B4" t="s">
        <v>390</v>
      </c>
      <c r="C4" t="s">
        <v>80</v>
      </c>
    </row>
    <row r="5" spans="1:3" x14ac:dyDescent="0.3">
      <c r="A5">
        <v>5</v>
      </c>
      <c r="B5" t="s">
        <v>391</v>
      </c>
      <c r="C5" t="s">
        <v>82</v>
      </c>
    </row>
    <row r="6" spans="1:3" x14ac:dyDescent="0.3">
      <c r="A6">
        <v>6</v>
      </c>
      <c r="B6" t="s">
        <v>296</v>
      </c>
      <c r="C6" t="s">
        <v>80</v>
      </c>
    </row>
    <row r="7" spans="1:3" x14ac:dyDescent="0.3">
      <c r="A7">
        <v>7</v>
      </c>
      <c r="B7" t="s">
        <v>64</v>
      </c>
      <c r="C7" t="s">
        <v>252</v>
      </c>
    </row>
    <row r="8" spans="1:3" x14ac:dyDescent="0.3">
      <c r="A8">
        <v>8</v>
      </c>
      <c r="B8" t="s">
        <v>392</v>
      </c>
      <c r="C8" t="s">
        <v>81</v>
      </c>
    </row>
    <row r="9" spans="1:3" x14ac:dyDescent="0.3">
      <c r="A9">
        <v>9</v>
      </c>
      <c r="B9" t="s">
        <v>393</v>
      </c>
      <c r="C9" t="s">
        <v>79</v>
      </c>
    </row>
    <row r="10" spans="1:3" x14ac:dyDescent="0.3">
      <c r="A10">
        <v>10</v>
      </c>
      <c r="B10" t="s">
        <v>251</v>
      </c>
      <c r="C10" t="s">
        <v>80</v>
      </c>
    </row>
    <row r="11" spans="1:3" x14ac:dyDescent="0.3">
      <c r="A11">
        <v>11</v>
      </c>
      <c r="B11" t="s">
        <v>394</v>
      </c>
      <c r="C11" t="s">
        <v>252</v>
      </c>
    </row>
    <row r="12" spans="1:3" x14ac:dyDescent="0.3">
      <c r="A12">
        <v>12</v>
      </c>
      <c r="B12" t="s">
        <v>395</v>
      </c>
      <c r="C12" t="s">
        <v>76</v>
      </c>
    </row>
    <row r="13" spans="1:3" x14ac:dyDescent="0.3">
      <c r="A13">
        <v>13</v>
      </c>
      <c r="B13" t="s">
        <v>161</v>
      </c>
      <c r="C13" t="s">
        <v>79</v>
      </c>
    </row>
    <row r="14" spans="1:3" x14ac:dyDescent="0.3">
      <c r="A14">
        <v>14</v>
      </c>
      <c r="B14" t="s">
        <v>396</v>
      </c>
      <c r="C14" t="s">
        <v>79</v>
      </c>
    </row>
    <row r="15" spans="1:3" x14ac:dyDescent="0.3">
      <c r="A15">
        <v>15</v>
      </c>
      <c r="B15" t="s">
        <v>397</v>
      </c>
      <c r="C15" t="s">
        <v>79</v>
      </c>
    </row>
    <row r="16" spans="1:3" x14ac:dyDescent="0.3">
      <c r="A16">
        <v>16</v>
      </c>
      <c r="B16" t="s">
        <v>125</v>
      </c>
      <c r="C16" t="s">
        <v>80</v>
      </c>
    </row>
    <row r="17" spans="1:3" x14ac:dyDescent="0.3">
      <c r="A17">
        <v>17</v>
      </c>
      <c r="B17" t="s">
        <v>398</v>
      </c>
      <c r="C17" t="s">
        <v>80</v>
      </c>
    </row>
    <row r="18" spans="1:3" x14ac:dyDescent="0.3">
      <c r="A18">
        <v>18</v>
      </c>
      <c r="B18" t="s">
        <v>399</v>
      </c>
      <c r="C18" t="s">
        <v>80</v>
      </c>
    </row>
    <row r="19" spans="1:3" x14ac:dyDescent="0.3">
      <c r="A19">
        <v>19</v>
      </c>
      <c r="B19" t="s">
        <v>400</v>
      </c>
      <c r="C19" t="s">
        <v>76</v>
      </c>
    </row>
    <row r="20" spans="1:3" x14ac:dyDescent="0.3">
      <c r="A20">
        <v>20</v>
      </c>
      <c r="B20" t="s">
        <v>286</v>
      </c>
      <c r="C20" t="s">
        <v>252</v>
      </c>
    </row>
    <row r="21" spans="1:3" x14ac:dyDescent="0.3">
      <c r="A21">
        <v>21</v>
      </c>
      <c r="B21" t="s">
        <v>338</v>
      </c>
      <c r="C21" t="s">
        <v>77</v>
      </c>
    </row>
    <row r="22" spans="1:3" x14ac:dyDescent="0.3">
      <c r="A22">
        <v>22</v>
      </c>
      <c r="B22" t="s">
        <v>512</v>
      </c>
      <c r="C22" t="s">
        <v>79</v>
      </c>
    </row>
    <row r="23" spans="1:3" x14ac:dyDescent="0.3">
      <c r="A23">
        <v>23</v>
      </c>
      <c r="B23" t="s">
        <v>369</v>
      </c>
      <c r="C23" t="s">
        <v>79</v>
      </c>
    </row>
    <row r="24" spans="1:3" x14ac:dyDescent="0.3">
      <c r="A24">
        <v>24</v>
      </c>
      <c r="B24" t="s">
        <v>402</v>
      </c>
      <c r="C24" t="s">
        <v>77</v>
      </c>
    </row>
    <row r="25" spans="1:3" x14ac:dyDescent="0.3">
      <c r="A25">
        <v>25</v>
      </c>
      <c r="B25" t="s">
        <v>96</v>
      </c>
      <c r="C25" t="s">
        <v>252</v>
      </c>
    </row>
    <row r="26" spans="1:3" x14ac:dyDescent="0.3">
      <c r="A26">
        <v>26</v>
      </c>
      <c r="B26" t="s">
        <v>403</v>
      </c>
      <c r="C26" t="s">
        <v>252</v>
      </c>
    </row>
    <row r="27" spans="1:3" x14ac:dyDescent="0.3">
      <c r="A27">
        <v>27</v>
      </c>
      <c r="B27" t="s">
        <v>168</v>
      </c>
      <c r="C27" t="s">
        <v>81</v>
      </c>
    </row>
    <row r="28" spans="1:3" x14ac:dyDescent="0.3">
      <c r="A28">
        <v>28</v>
      </c>
      <c r="B28" t="s">
        <v>111</v>
      </c>
      <c r="C28" t="s">
        <v>76</v>
      </c>
    </row>
    <row r="29" spans="1:3" x14ac:dyDescent="0.3">
      <c r="A29">
        <v>29</v>
      </c>
      <c r="B29" t="s">
        <v>105</v>
      </c>
      <c r="C29" t="s">
        <v>76</v>
      </c>
    </row>
    <row r="30" spans="1:3" x14ac:dyDescent="0.3">
      <c r="A30">
        <v>30</v>
      </c>
      <c r="B30" t="s">
        <v>169</v>
      </c>
      <c r="C30" t="s">
        <v>76</v>
      </c>
    </row>
    <row r="31" spans="1:3" x14ac:dyDescent="0.3">
      <c r="A31">
        <v>31</v>
      </c>
      <c r="B31" t="s">
        <v>404</v>
      </c>
      <c r="C31" t="s">
        <v>81</v>
      </c>
    </row>
    <row r="32" spans="1:3" x14ac:dyDescent="0.3">
      <c r="A32">
        <v>32</v>
      </c>
      <c r="B32" t="s">
        <v>171</v>
      </c>
      <c r="C32" t="s">
        <v>81</v>
      </c>
    </row>
    <row r="33" spans="1:3" x14ac:dyDescent="0.3">
      <c r="A33">
        <v>33</v>
      </c>
      <c r="B33" t="s">
        <v>405</v>
      </c>
      <c r="C33" t="s">
        <v>82</v>
      </c>
    </row>
    <row r="34" spans="1:3" x14ac:dyDescent="0.3">
      <c r="A34">
        <v>34</v>
      </c>
      <c r="B34" t="s">
        <v>513</v>
      </c>
      <c r="C34" t="s">
        <v>79</v>
      </c>
    </row>
    <row r="35" spans="1:3" x14ac:dyDescent="0.3">
      <c r="A35">
        <v>35</v>
      </c>
      <c r="B35" t="s">
        <v>407</v>
      </c>
      <c r="C35" t="s">
        <v>81</v>
      </c>
    </row>
    <row r="36" spans="1:3" x14ac:dyDescent="0.3">
      <c r="A36">
        <v>36</v>
      </c>
      <c r="B36" t="s">
        <v>51</v>
      </c>
      <c r="C36" t="s">
        <v>81</v>
      </c>
    </row>
    <row r="37" spans="1:3" x14ac:dyDescent="0.3">
      <c r="A37">
        <v>37</v>
      </c>
      <c r="B37" t="s">
        <v>408</v>
      </c>
      <c r="C37" t="s">
        <v>81</v>
      </c>
    </row>
    <row r="38" spans="1:3" x14ac:dyDescent="0.3">
      <c r="A38">
        <v>38</v>
      </c>
      <c r="B38" t="s">
        <v>173</v>
      </c>
      <c r="C38" t="s">
        <v>252</v>
      </c>
    </row>
    <row r="39" spans="1:3" x14ac:dyDescent="0.3">
      <c r="A39">
        <v>39</v>
      </c>
      <c r="B39" t="s">
        <v>514</v>
      </c>
      <c r="C39" t="s">
        <v>252</v>
      </c>
    </row>
    <row r="40" spans="1:3" x14ac:dyDescent="0.3">
      <c r="A40">
        <v>40</v>
      </c>
      <c r="B40" t="s">
        <v>515</v>
      </c>
      <c r="C40" t="s">
        <v>252</v>
      </c>
    </row>
    <row r="41" spans="1:3" x14ac:dyDescent="0.3">
      <c r="A41">
        <v>41</v>
      </c>
      <c r="B41" t="s">
        <v>411</v>
      </c>
      <c r="C41" t="s">
        <v>79</v>
      </c>
    </row>
    <row r="42" spans="1:3" x14ac:dyDescent="0.3">
      <c r="A42">
        <v>42</v>
      </c>
      <c r="B42" t="s">
        <v>343</v>
      </c>
      <c r="C42" t="s">
        <v>82</v>
      </c>
    </row>
    <row r="43" spans="1:3" x14ac:dyDescent="0.3">
      <c r="A43">
        <v>43</v>
      </c>
      <c r="B43" t="s">
        <v>121</v>
      </c>
      <c r="C43" t="s">
        <v>252</v>
      </c>
    </row>
    <row r="44" spans="1:3" x14ac:dyDescent="0.3">
      <c r="A44">
        <v>44</v>
      </c>
      <c r="B44" t="s">
        <v>412</v>
      </c>
      <c r="C44" t="s">
        <v>82</v>
      </c>
    </row>
    <row r="45" spans="1:3" x14ac:dyDescent="0.3">
      <c r="A45">
        <v>45</v>
      </c>
      <c r="B45" t="s">
        <v>413</v>
      </c>
      <c r="C45" t="s">
        <v>252</v>
      </c>
    </row>
    <row r="46" spans="1:3" x14ac:dyDescent="0.3">
      <c r="A46">
        <v>46</v>
      </c>
      <c r="B46" t="s">
        <v>414</v>
      </c>
      <c r="C46" t="s">
        <v>77</v>
      </c>
    </row>
    <row r="47" spans="1:3" x14ac:dyDescent="0.3">
      <c r="A47">
        <v>47</v>
      </c>
      <c r="B47" t="s">
        <v>415</v>
      </c>
      <c r="C47" t="s">
        <v>81</v>
      </c>
    </row>
    <row r="48" spans="1:3" x14ac:dyDescent="0.3">
      <c r="A48">
        <v>48</v>
      </c>
      <c r="B48" t="s">
        <v>67</v>
      </c>
      <c r="C48" t="s">
        <v>76</v>
      </c>
    </row>
    <row r="49" spans="1:3" x14ac:dyDescent="0.3">
      <c r="A49">
        <v>49</v>
      </c>
      <c r="B49" t="s">
        <v>114</v>
      </c>
      <c r="C49" t="s">
        <v>76</v>
      </c>
    </row>
    <row r="50" spans="1:3" x14ac:dyDescent="0.3">
      <c r="A50">
        <v>50</v>
      </c>
      <c r="B50" t="s">
        <v>87</v>
      </c>
      <c r="C50" t="s">
        <v>252</v>
      </c>
    </row>
    <row r="51" spans="1:3" x14ac:dyDescent="0.3">
      <c r="A51">
        <v>51</v>
      </c>
      <c r="B51" t="s">
        <v>516</v>
      </c>
      <c r="C51" t="s">
        <v>80</v>
      </c>
    </row>
    <row r="52" spans="1:3" x14ac:dyDescent="0.3">
      <c r="A52">
        <v>52</v>
      </c>
      <c r="B52" t="s">
        <v>91</v>
      </c>
      <c r="C52" t="s">
        <v>77</v>
      </c>
    </row>
    <row r="53" spans="1:3" x14ac:dyDescent="0.3">
      <c r="A53">
        <v>53</v>
      </c>
      <c r="B53" t="s">
        <v>417</v>
      </c>
      <c r="C53" t="s">
        <v>82</v>
      </c>
    </row>
    <row r="54" spans="1:3" x14ac:dyDescent="0.3">
      <c r="A54">
        <v>54</v>
      </c>
      <c r="B54" t="s">
        <v>517</v>
      </c>
      <c r="C54" t="s">
        <v>80</v>
      </c>
    </row>
    <row r="55" spans="1:3" x14ac:dyDescent="0.3">
      <c r="A55">
        <v>55</v>
      </c>
      <c r="B55" t="s">
        <v>100</v>
      </c>
      <c r="C55" t="s">
        <v>79</v>
      </c>
    </row>
    <row r="56" spans="1:3" x14ac:dyDescent="0.3">
      <c r="A56">
        <v>56</v>
      </c>
      <c r="B56" t="s">
        <v>518</v>
      </c>
      <c r="C56" t="s">
        <v>76</v>
      </c>
    </row>
    <row r="57" spans="1:3" x14ac:dyDescent="0.3">
      <c r="A57">
        <v>57</v>
      </c>
      <c r="B57" t="s">
        <v>420</v>
      </c>
      <c r="C57" t="s">
        <v>81</v>
      </c>
    </row>
    <row r="58" spans="1:3" x14ac:dyDescent="0.3">
      <c r="A58">
        <v>58</v>
      </c>
      <c r="B58" t="s">
        <v>35</v>
      </c>
      <c r="C58" t="s">
        <v>76</v>
      </c>
    </row>
    <row r="59" spans="1:3" x14ac:dyDescent="0.3">
      <c r="A59">
        <v>59</v>
      </c>
      <c r="B59" t="s">
        <v>421</v>
      </c>
      <c r="C59" t="s">
        <v>82</v>
      </c>
    </row>
    <row r="60" spans="1:3" x14ac:dyDescent="0.3">
      <c r="A60">
        <v>60</v>
      </c>
      <c r="B60" t="s">
        <v>422</v>
      </c>
      <c r="C60" t="s">
        <v>81</v>
      </c>
    </row>
    <row r="61" spans="1:3" x14ac:dyDescent="0.3">
      <c r="A61">
        <v>61</v>
      </c>
      <c r="B61" t="s">
        <v>389</v>
      </c>
      <c r="C61" t="s">
        <v>81</v>
      </c>
    </row>
    <row r="62" spans="1:3" x14ac:dyDescent="0.3">
      <c r="A62">
        <v>62</v>
      </c>
      <c r="B62" t="s">
        <v>130</v>
      </c>
      <c r="C62" t="s">
        <v>252</v>
      </c>
    </row>
    <row r="63" spans="1:3" x14ac:dyDescent="0.3">
      <c r="A63">
        <v>63</v>
      </c>
      <c r="B63" t="s">
        <v>423</v>
      </c>
      <c r="C63" t="s">
        <v>80</v>
      </c>
    </row>
    <row r="64" spans="1:3" x14ac:dyDescent="0.3">
      <c r="A64">
        <v>64</v>
      </c>
      <c r="B64" t="s">
        <v>424</v>
      </c>
      <c r="C64" t="s">
        <v>80</v>
      </c>
    </row>
    <row r="65" spans="1:3" x14ac:dyDescent="0.3">
      <c r="A65">
        <v>65</v>
      </c>
      <c r="B65" t="s">
        <v>425</v>
      </c>
      <c r="C65" t="s">
        <v>77</v>
      </c>
    </row>
    <row r="66" spans="1:3" x14ac:dyDescent="0.3">
      <c r="A66">
        <v>66</v>
      </c>
      <c r="B66" t="s">
        <v>426</v>
      </c>
      <c r="C66" t="s">
        <v>77</v>
      </c>
    </row>
    <row r="67" spans="1:3" x14ac:dyDescent="0.3">
      <c r="A67">
        <v>67</v>
      </c>
      <c r="B67" t="s">
        <v>427</v>
      </c>
      <c r="C67" t="s">
        <v>252</v>
      </c>
    </row>
    <row r="68" spans="1:3" x14ac:dyDescent="0.3">
      <c r="A68">
        <v>68</v>
      </c>
      <c r="B68" t="s">
        <v>52</v>
      </c>
      <c r="C68" t="s">
        <v>81</v>
      </c>
    </row>
    <row r="69" spans="1:3" x14ac:dyDescent="0.3">
      <c r="A69">
        <v>69</v>
      </c>
      <c r="B69" t="s">
        <v>428</v>
      </c>
      <c r="C69" t="s">
        <v>252</v>
      </c>
    </row>
    <row r="70" spans="1:3" x14ac:dyDescent="0.3">
      <c r="A70">
        <v>70</v>
      </c>
      <c r="B70" t="s">
        <v>429</v>
      </c>
      <c r="C70" t="s">
        <v>252</v>
      </c>
    </row>
    <row r="71" spans="1:3" x14ac:dyDescent="0.3">
      <c r="A71">
        <v>71</v>
      </c>
      <c r="B71" t="s">
        <v>430</v>
      </c>
      <c r="C71" t="s">
        <v>82</v>
      </c>
    </row>
    <row r="72" spans="1:3" x14ac:dyDescent="0.3">
      <c r="A72">
        <v>72</v>
      </c>
      <c r="B72" t="s">
        <v>151</v>
      </c>
      <c r="C72" t="s">
        <v>252</v>
      </c>
    </row>
    <row r="73" spans="1:3" x14ac:dyDescent="0.3">
      <c r="A73">
        <v>73</v>
      </c>
      <c r="B73" t="s">
        <v>183</v>
      </c>
      <c r="C73" t="s">
        <v>79</v>
      </c>
    </row>
    <row r="74" spans="1:3" x14ac:dyDescent="0.3">
      <c r="A74">
        <v>74</v>
      </c>
      <c r="B74" t="s">
        <v>431</v>
      </c>
      <c r="C74" t="s">
        <v>79</v>
      </c>
    </row>
    <row r="75" spans="1:3" x14ac:dyDescent="0.3">
      <c r="A75">
        <v>75</v>
      </c>
      <c r="B75" t="s">
        <v>432</v>
      </c>
      <c r="C75" t="s">
        <v>77</v>
      </c>
    </row>
    <row r="76" spans="1:3" x14ac:dyDescent="0.3">
      <c r="A76">
        <v>76</v>
      </c>
      <c r="B76" t="s">
        <v>124</v>
      </c>
      <c r="C76" t="s">
        <v>79</v>
      </c>
    </row>
    <row r="77" spans="1:3" x14ac:dyDescent="0.3">
      <c r="A77">
        <v>77</v>
      </c>
      <c r="B77" t="s">
        <v>21</v>
      </c>
      <c r="C77" t="s">
        <v>252</v>
      </c>
    </row>
    <row r="78" spans="1:3" x14ac:dyDescent="0.3">
      <c r="A78">
        <v>78</v>
      </c>
      <c r="B78" t="s">
        <v>433</v>
      </c>
      <c r="C78" t="s">
        <v>82</v>
      </c>
    </row>
    <row r="79" spans="1:3" x14ac:dyDescent="0.3">
      <c r="A79">
        <v>79</v>
      </c>
      <c r="B79" t="s">
        <v>434</v>
      </c>
      <c r="C79" t="s">
        <v>81</v>
      </c>
    </row>
    <row r="80" spans="1:3" x14ac:dyDescent="0.3">
      <c r="A80">
        <v>80</v>
      </c>
      <c r="B80" t="s">
        <v>435</v>
      </c>
      <c r="C80" t="s">
        <v>81</v>
      </c>
    </row>
    <row r="81" spans="1:3" x14ac:dyDescent="0.3">
      <c r="A81">
        <v>81</v>
      </c>
      <c r="B81" t="s">
        <v>97</v>
      </c>
      <c r="C81" t="s">
        <v>76</v>
      </c>
    </row>
    <row r="82" spans="1:3" x14ac:dyDescent="0.3">
      <c r="A82">
        <v>82</v>
      </c>
      <c r="B82" t="s">
        <v>149</v>
      </c>
      <c r="C82" t="s">
        <v>76</v>
      </c>
    </row>
    <row r="83" spans="1:3" x14ac:dyDescent="0.3">
      <c r="A83">
        <v>83</v>
      </c>
      <c r="B83" t="s">
        <v>436</v>
      </c>
      <c r="C83" t="s">
        <v>81</v>
      </c>
    </row>
    <row r="84" spans="1:3" x14ac:dyDescent="0.3">
      <c r="A84">
        <v>84</v>
      </c>
      <c r="B84" t="s">
        <v>185</v>
      </c>
      <c r="C84" t="s">
        <v>76</v>
      </c>
    </row>
    <row r="85" spans="1:3" x14ac:dyDescent="0.3">
      <c r="A85">
        <v>85</v>
      </c>
      <c r="B85" t="s">
        <v>437</v>
      </c>
      <c r="C85" t="s">
        <v>81</v>
      </c>
    </row>
    <row r="86" spans="1:3" x14ac:dyDescent="0.3">
      <c r="A86">
        <v>86</v>
      </c>
      <c r="B86" t="s">
        <v>438</v>
      </c>
      <c r="C86" t="s">
        <v>77</v>
      </c>
    </row>
    <row r="87" spans="1:3" x14ac:dyDescent="0.3">
      <c r="A87">
        <v>87</v>
      </c>
      <c r="B87" t="s">
        <v>439</v>
      </c>
      <c r="C87" t="s">
        <v>77</v>
      </c>
    </row>
    <row r="88" spans="1:3" x14ac:dyDescent="0.3">
      <c r="A88">
        <v>88</v>
      </c>
      <c r="B88" t="s">
        <v>440</v>
      </c>
      <c r="C88" t="s">
        <v>82</v>
      </c>
    </row>
    <row r="89" spans="1:3" x14ac:dyDescent="0.3">
      <c r="A89">
        <v>89</v>
      </c>
      <c r="B89" t="s">
        <v>441</v>
      </c>
      <c r="C89" t="s">
        <v>77</v>
      </c>
    </row>
    <row r="90" spans="1:3" x14ac:dyDescent="0.3">
      <c r="A90">
        <v>90</v>
      </c>
      <c r="B90" t="s">
        <v>442</v>
      </c>
      <c r="C90" t="s">
        <v>76</v>
      </c>
    </row>
    <row r="91" spans="1:3" x14ac:dyDescent="0.3">
      <c r="A91">
        <v>91</v>
      </c>
      <c r="B91" t="s">
        <v>189</v>
      </c>
      <c r="C91" t="s">
        <v>77</v>
      </c>
    </row>
    <row r="92" spans="1:3" x14ac:dyDescent="0.3">
      <c r="A92">
        <v>92</v>
      </c>
      <c r="B92" t="s">
        <v>443</v>
      </c>
      <c r="C92" t="s">
        <v>82</v>
      </c>
    </row>
    <row r="93" spans="1:3" x14ac:dyDescent="0.3">
      <c r="A93">
        <v>93</v>
      </c>
      <c r="B93" t="s">
        <v>444</v>
      </c>
      <c r="C93" t="s">
        <v>252</v>
      </c>
    </row>
    <row r="94" spans="1:3" x14ac:dyDescent="0.3">
      <c r="A94">
        <v>94</v>
      </c>
      <c r="B94" t="s">
        <v>308</v>
      </c>
      <c r="C94" t="s">
        <v>80</v>
      </c>
    </row>
    <row r="95" spans="1:3" x14ac:dyDescent="0.3">
      <c r="A95">
        <v>95</v>
      </c>
      <c r="B95" t="s">
        <v>519</v>
      </c>
      <c r="C95" t="s">
        <v>79</v>
      </c>
    </row>
    <row r="96" spans="1:3" x14ac:dyDescent="0.3">
      <c r="A96">
        <v>96</v>
      </c>
      <c r="B96" t="s">
        <v>316</v>
      </c>
      <c r="C96" t="s">
        <v>77</v>
      </c>
    </row>
    <row r="97" spans="1:3" x14ac:dyDescent="0.3">
      <c r="A97">
        <v>97</v>
      </c>
      <c r="B97" t="s">
        <v>446</v>
      </c>
      <c r="C97" t="s">
        <v>80</v>
      </c>
    </row>
    <row r="98" spans="1:3" x14ac:dyDescent="0.3">
      <c r="A98">
        <v>98</v>
      </c>
      <c r="B98" t="s">
        <v>447</v>
      </c>
      <c r="C98" t="s">
        <v>252</v>
      </c>
    </row>
    <row r="99" spans="1:3" x14ac:dyDescent="0.3">
      <c r="A99">
        <v>99</v>
      </c>
      <c r="B99" t="s">
        <v>448</v>
      </c>
      <c r="C99" t="s">
        <v>77</v>
      </c>
    </row>
    <row r="100" spans="1:3" x14ac:dyDescent="0.3">
      <c r="A100">
        <v>100</v>
      </c>
      <c r="B100" t="s">
        <v>449</v>
      </c>
      <c r="C100" t="s">
        <v>80</v>
      </c>
    </row>
    <row r="101" spans="1:3" x14ac:dyDescent="0.3">
      <c r="A101">
        <v>101</v>
      </c>
      <c r="B101" t="s">
        <v>68</v>
      </c>
      <c r="C101" t="s">
        <v>77</v>
      </c>
    </row>
    <row r="102" spans="1:3" x14ac:dyDescent="0.3">
      <c r="A102">
        <v>102</v>
      </c>
      <c r="B102" t="s">
        <v>450</v>
      </c>
      <c r="C102" t="s">
        <v>252</v>
      </c>
    </row>
    <row r="103" spans="1:3" x14ac:dyDescent="0.3">
      <c r="A103">
        <v>103</v>
      </c>
      <c r="B103" t="s">
        <v>194</v>
      </c>
      <c r="C103" t="s">
        <v>80</v>
      </c>
    </row>
    <row r="104" spans="1:3" x14ac:dyDescent="0.3">
      <c r="A104">
        <v>104</v>
      </c>
      <c r="B104" t="s">
        <v>153</v>
      </c>
      <c r="C104" t="s">
        <v>80</v>
      </c>
    </row>
    <row r="105" spans="1:3" x14ac:dyDescent="0.3">
      <c r="A105">
        <v>105</v>
      </c>
      <c r="B105" t="s">
        <v>451</v>
      </c>
      <c r="C105" t="s">
        <v>79</v>
      </c>
    </row>
    <row r="106" spans="1:3" x14ac:dyDescent="0.3">
      <c r="A106">
        <v>106</v>
      </c>
      <c r="B106" t="s">
        <v>13</v>
      </c>
      <c r="C106" t="s">
        <v>77</v>
      </c>
    </row>
    <row r="107" spans="1:3" x14ac:dyDescent="0.3">
      <c r="A107">
        <v>107</v>
      </c>
      <c r="B107" t="s">
        <v>281</v>
      </c>
      <c r="C107" t="s">
        <v>77</v>
      </c>
    </row>
    <row r="108" spans="1:3" x14ac:dyDescent="0.3">
      <c r="A108">
        <v>108</v>
      </c>
      <c r="B108" t="s">
        <v>196</v>
      </c>
      <c r="C108" t="s">
        <v>76</v>
      </c>
    </row>
    <row r="109" spans="1:3" x14ac:dyDescent="0.3">
      <c r="A109">
        <v>109</v>
      </c>
      <c r="B109" t="s">
        <v>452</v>
      </c>
      <c r="C109" t="s">
        <v>252</v>
      </c>
    </row>
    <row r="110" spans="1:3" x14ac:dyDescent="0.3">
      <c r="A110">
        <v>110</v>
      </c>
      <c r="B110" t="s">
        <v>453</v>
      </c>
      <c r="C110" t="s">
        <v>82</v>
      </c>
    </row>
    <row r="111" spans="1:3" x14ac:dyDescent="0.3">
      <c r="A111">
        <v>111</v>
      </c>
      <c r="B111" t="s">
        <v>34</v>
      </c>
      <c r="C111" t="s">
        <v>77</v>
      </c>
    </row>
    <row r="112" spans="1:3" x14ac:dyDescent="0.3">
      <c r="A112">
        <v>112</v>
      </c>
      <c r="B112" t="s">
        <v>152</v>
      </c>
      <c r="C112" t="s">
        <v>81</v>
      </c>
    </row>
    <row r="113" spans="1:3" x14ac:dyDescent="0.3">
      <c r="A113">
        <v>113</v>
      </c>
      <c r="B113" t="s">
        <v>14</v>
      </c>
      <c r="C113" t="s">
        <v>76</v>
      </c>
    </row>
    <row r="114" spans="1:3" x14ac:dyDescent="0.3">
      <c r="A114">
        <v>114</v>
      </c>
      <c r="B114" t="s">
        <v>454</v>
      </c>
      <c r="C114" t="s">
        <v>79</v>
      </c>
    </row>
    <row r="115" spans="1:3" x14ac:dyDescent="0.3">
      <c r="A115">
        <v>115</v>
      </c>
      <c r="B115" t="s">
        <v>122</v>
      </c>
      <c r="C115" t="s">
        <v>252</v>
      </c>
    </row>
    <row r="116" spans="1:3" x14ac:dyDescent="0.3">
      <c r="A116">
        <v>116</v>
      </c>
      <c r="B116" t="s">
        <v>455</v>
      </c>
      <c r="C116" t="s">
        <v>77</v>
      </c>
    </row>
    <row r="117" spans="1:3" x14ac:dyDescent="0.3">
      <c r="A117">
        <v>117</v>
      </c>
      <c r="B117" t="s">
        <v>109</v>
      </c>
      <c r="C117" t="s">
        <v>252</v>
      </c>
    </row>
    <row r="118" spans="1:3" x14ac:dyDescent="0.3">
      <c r="A118">
        <v>118</v>
      </c>
      <c r="B118" t="s">
        <v>456</v>
      </c>
      <c r="C118" t="s">
        <v>252</v>
      </c>
    </row>
    <row r="119" spans="1:3" x14ac:dyDescent="0.3">
      <c r="A119">
        <v>119</v>
      </c>
      <c r="B119" t="s">
        <v>115</v>
      </c>
      <c r="C119" t="s">
        <v>79</v>
      </c>
    </row>
    <row r="120" spans="1:3" x14ac:dyDescent="0.3">
      <c r="A120">
        <v>120</v>
      </c>
      <c r="B120" t="s">
        <v>147</v>
      </c>
      <c r="C120" t="s">
        <v>80</v>
      </c>
    </row>
    <row r="121" spans="1:3" x14ac:dyDescent="0.3">
      <c r="A121">
        <v>121</v>
      </c>
      <c r="B121" t="s">
        <v>457</v>
      </c>
      <c r="C121" t="s">
        <v>252</v>
      </c>
    </row>
    <row r="122" spans="1:3" x14ac:dyDescent="0.3">
      <c r="A122">
        <v>122</v>
      </c>
      <c r="B122" t="s">
        <v>458</v>
      </c>
      <c r="C122" t="s">
        <v>76</v>
      </c>
    </row>
    <row r="123" spans="1:3" x14ac:dyDescent="0.3">
      <c r="A123">
        <v>123</v>
      </c>
      <c r="B123" t="s">
        <v>459</v>
      </c>
      <c r="C123" t="s">
        <v>79</v>
      </c>
    </row>
    <row r="124" spans="1:3" x14ac:dyDescent="0.3">
      <c r="A124">
        <v>124</v>
      </c>
      <c r="B124" t="s">
        <v>460</v>
      </c>
      <c r="C124" t="s">
        <v>82</v>
      </c>
    </row>
    <row r="125" spans="1:3" x14ac:dyDescent="0.3">
      <c r="A125">
        <v>125</v>
      </c>
      <c r="B125" t="s">
        <v>461</v>
      </c>
      <c r="C125" t="s">
        <v>77</v>
      </c>
    </row>
    <row r="126" spans="1:3" x14ac:dyDescent="0.3">
      <c r="A126">
        <v>126</v>
      </c>
      <c r="B126" t="s">
        <v>462</v>
      </c>
      <c r="C126" t="s">
        <v>80</v>
      </c>
    </row>
    <row r="127" spans="1:3" x14ac:dyDescent="0.3">
      <c r="A127">
        <v>127</v>
      </c>
      <c r="B127" t="s">
        <v>463</v>
      </c>
      <c r="C127" t="s">
        <v>77</v>
      </c>
    </row>
    <row r="128" spans="1:3" x14ac:dyDescent="0.3">
      <c r="A128">
        <v>128</v>
      </c>
      <c r="B128" t="s">
        <v>54</v>
      </c>
      <c r="C128" t="s">
        <v>76</v>
      </c>
    </row>
    <row r="129" spans="1:3" x14ac:dyDescent="0.3">
      <c r="A129">
        <v>129</v>
      </c>
      <c r="B129" t="s">
        <v>203</v>
      </c>
      <c r="C129" t="s">
        <v>76</v>
      </c>
    </row>
    <row r="130" spans="1:3" x14ac:dyDescent="0.3">
      <c r="A130">
        <v>130</v>
      </c>
      <c r="B130" t="s">
        <v>204</v>
      </c>
      <c r="C130" t="s">
        <v>79</v>
      </c>
    </row>
    <row r="131" spans="1:3" x14ac:dyDescent="0.3">
      <c r="A131">
        <v>131</v>
      </c>
      <c r="B131" t="s">
        <v>464</v>
      </c>
      <c r="C131" t="s">
        <v>81</v>
      </c>
    </row>
    <row r="132" spans="1:3" x14ac:dyDescent="0.3">
      <c r="A132">
        <v>132</v>
      </c>
      <c r="B132" t="s">
        <v>37</v>
      </c>
      <c r="C132" t="s">
        <v>80</v>
      </c>
    </row>
    <row r="133" spans="1:3" x14ac:dyDescent="0.3">
      <c r="A133">
        <v>133</v>
      </c>
      <c r="B133" t="s">
        <v>465</v>
      </c>
      <c r="C133" t="s">
        <v>252</v>
      </c>
    </row>
    <row r="134" spans="1:3" x14ac:dyDescent="0.3">
      <c r="A134">
        <v>134</v>
      </c>
      <c r="B134" t="s">
        <v>11</v>
      </c>
      <c r="C134" t="s">
        <v>76</v>
      </c>
    </row>
    <row r="135" spans="1:3" x14ac:dyDescent="0.3">
      <c r="A135">
        <v>135</v>
      </c>
      <c r="B135" t="s">
        <v>520</v>
      </c>
      <c r="C135" t="s">
        <v>252</v>
      </c>
    </row>
    <row r="136" spans="1:3" x14ac:dyDescent="0.3">
      <c r="A136">
        <v>136</v>
      </c>
      <c r="B136" t="s">
        <v>206</v>
      </c>
      <c r="C136" t="s">
        <v>81</v>
      </c>
    </row>
    <row r="137" spans="1:3" x14ac:dyDescent="0.3">
      <c r="A137">
        <v>137</v>
      </c>
      <c r="B137" t="s">
        <v>467</v>
      </c>
      <c r="C137" t="s">
        <v>77</v>
      </c>
    </row>
    <row r="138" spans="1:3" x14ac:dyDescent="0.3">
      <c r="A138">
        <v>138</v>
      </c>
      <c r="B138" t="s">
        <v>468</v>
      </c>
      <c r="C138" t="s">
        <v>77</v>
      </c>
    </row>
    <row r="139" spans="1:3" x14ac:dyDescent="0.3">
      <c r="A139">
        <v>139</v>
      </c>
      <c r="B139" t="s">
        <v>469</v>
      </c>
      <c r="C139" t="s">
        <v>80</v>
      </c>
    </row>
    <row r="140" spans="1:3" x14ac:dyDescent="0.3">
      <c r="A140">
        <v>140</v>
      </c>
      <c r="B140" t="s">
        <v>470</v>
      </c>
      <c r="C140" t="s">
        <v>79</v>
      </c>
    </row>
    <row r="141" spans="1:3" x14ac:dyDescent="0.3">
      <c r="A141">
        <v>141</v>
      </c>
      <c r="B141" t="s">
        <v>471</v>
      </c>
      <c r="C141" t="s">
        <v>252</v>
      </c>
    </row>
    <row r="142" spans="1:3" x14ac:dyDescent="0.3">
      <c r="A142">
        <v>142</v>
      </c>
      <c r="B142" t="s">
        <v>472</v>
      </c>
      <c r="C142" t="s">
        <v>77</v>
      </c>
    </row>
    <row r="143" spans="1:3" x14ac:dyDescent="0.3">
      <c r="A143">
        <v>143</v>
      </c>
      <c r="B143" t="s">
        <v>473</v>
      </c>
      <c r="C143" t="s">
        <v>79</v>
      </c>
    </row>
    <row r="144" spans="1:3" x14ac:dyDescent="0.3">
      <c r="A144">
        <v>144</v>
      </c>
      <c r="B144" t="s">
        <v>94</v>
      </c>
      <c r="C144" t="s">
        <v>76</v>
      </c>
    </row>
    <row r="145" spans="1:3" x14ac:dyDescent="0.3">
      <c r="A145">
        <v>145</v>
      </c>
      <c r="B145" t="s">
        <v>474</v>
      </c>
      <c r="C145" t="s">
        <v>80</v>
      </c>
    </row>
    <row r="146" spans="1:3" x14ac:dyDescent="0.3">
      <c r="A146">
        <v>146</v>
      </c>
      <c r="B146" t="s">
        <v>148</v>
      </c>
      <c r="C146" t="s">
        <v>76</v>
      </c>
    </row>
    <row r="147" spans="1:3" x14ac:dyDescent="0.3">
      <c r="A147">
        <v>147</v>
      </c>
      <c r="B147" t="s">
        <v>31</v>
      </c>
      <c r="C147" t="s">
        <v>80</v>
      </c>
    </row>
    <row r="148" spans="1:3" x14ac:dyDescent="0.3">
      <c r="A148">
        <v>148</v>
      </c>
      <c r="B148" t="s">
        <v>475</v>
      </c>
      <c r="C148" t="s">
        <v>81</v>
      </c>
    </row>
    <row r="149" spans="1:3" x14ac:dyDescent="0.3">
      <c r="A149">
        <v>149</v>
      </c>
      <c r="B149" t="s">
        <v>42</v>
      </c>
      <c r="C149" t="s">
        <v>82</v>
      </c>
    </row>
    <row r="150" spans="1:3" x14ac:dyDescent="0.3">
      <c r="A150">
        <v>150</v>
      </c>
      <c r="B150" t="s">
        <v>476</v>
      </c>
      <c r="C150" t="s">
        <v>80</v>
      </c>
    </row>
    <row r="151" spans="1:3" x14ac:dyDescent="0.3">
      <c r="A151">
        <v>151</v>
      </c>
      <c r="B151" t="s">
        <v>44</v>
      </c>
      <c r="C151" t="s">
        <v>81</v>
      </c>
    </row>
    <row r="152" spans="1:3" x14ac:dyDescent="0.3">
      <c r="A152">
        <v>152</v>
      </c>
      <c r="B152" t="s">
        <v>477</v>
      </c>
      <c r="C152" t="s">
        <v>77</v>
      </c>
    </row>
    <row r="153" spans="1:3" x14ac:dyDescent="0.3">
      <c r="A153">
        <v>153</v>
      </c>
      <c r="B153" t="s">
        <v>110</v>
      </c>
      <c r="C153" t="s">
        <v>76</v>
      </c>
    </row>
    <row r="154" spans="1:3" x14ac:dyDescent="0.3">
      <c r="A154">
        <v>154</v>
      </c>
      <c r="B154" t="s">
        <v>521</v>
      </c>
      <c r="C154" t="s">
        <v>79</v>
      </c>
    </row>
    <row r="155" spans="1:3" x14ac:dyDescent="0.3">
      <c r="A155">
        <v>155</v>
      </c>
      <c r="B155" t="s">
        <v>522</v>
      </c>
      <c r="C155" t="s">
        <v>76</v>
      </c>
    </row>
    <row r="156" spans="1:3" x14ac:dyDescent="0.3">
      <c r="A156">
        <v>156</v>
      </c>
      <c r="B156" t="s">
        <v>210</v>
      </c>
      <c r="C156" t="s">
        <v>252</v>
      </c>
    </row>
    <row r="157" spans="1:3" x14ac:dyDescent="0.3">
      <c r="A157">
        <v>157</v>
      </c>
      <c r="B157" t="s">
        <v>15</v>
      </c>
      <c r="C157" t="s">
        <v>76</v>
      </c>
    </row>
    <row r="158" spans="1:3" x14ac:dyDescent="0.3">
      <c r="A158">
        <v>158</v>
      </c>
      <c r="B158" t="s">
        <v>92</v>
      </c>
      <c r="C158" t="s">
        <v>80</v>
      </c>
    </row>
    <row r="159" spans="1:3" x14ac:dyDescent="0.3">
      <c r="A159">
        <v>159</v>
      </c>
      <c r="B159" t="s">
        <v>50</v>
      </c>
      <c r="C159" t="s">
        <v>77</v>
      </c>
    </row>
    <row r="160" spans="1:3" x14ac:dyDescent="0.3">
      <c r="A160">
        <v>160</v>
      </c>
      <c r="B160" t="s">
        <v>211</v>
      </c>
      <c r="C160" t="s">
        <v>77</v>
      </c>
    </row>
    <row r="161" spans="1:3" x14ac:dyDescent="0.3">
      <c r="A161">
        <v>161</v>
      </c>
      <c r="B161" t="s">
        <v>480</v>
      </c>
      <c r="C161" t="s">
        <v>80</v>
      </c>
    </row>
    <row r="162" spans="1:3" x14ac:dyDescent="0.3">
      <c r="A162">
        <v>162</v>
      </c>
      <c r="B162" t="s">
        <v>40</v>
      </c>
      <c r="C162" t="s">
        <v>252</v>
      </c>
    </row>
    <row r="163" spans="1:3" x14ac:dyDescent="0.3">
      <c r="A163">
        <v>163</v>
      </c>
      <c r="B163" t="s">
        <v>481</v>
      </c>
      <c r="C163" t="s">
        <v>79</v>
      </c>
    </row>
    <row r="164" spans="1:3" x14ac:dyDescent="0.3">
      <c r="A164">
        <v>164</v>
      </c>
      <c r="B164" t="s">
        <v>331</v>
      </c>
      <c r="C164" t="s">
        <v>81</v>
      </c>
    </row>
    <row r="165" spans="1:3" x14ac:dyDescent="0.3">
      <c r="A165">
        <v>165</v>
      </c>
      <c r="B165" t="s">
        <v>482</v>
      </c>
      <c r="C165" t="s">
        <v>77</v>
      </c>
    </row>
    <row r="166" spans="1:3" x14ac:dyDescent="0.3">
      <c r="A166">
        <v>166</v>
      </c>
      <c r="B166" t="s">
        <v>483</v>
      </c>
      <c r="C166" t="s">
        <v>77</v>
      </c>
    </row>
    <row r="167" spans="1:3" x14ac:dyDescent="0.3">
      <c r="A167">
        <v>167</v>
      </c>
      <c r="B167" t="s">
        <v>212</v>
      </c>
      <c r="C167" t="s">
        <v>76</v>
      </c>
    </row>
    <row r="168" spans="1:3" x14ac:dyDescent="0.3">
      <c r="A168">
        <v>168</v>
      </c>
      <c r="B168" t="s">
        <v>484</v>
      </c>
      <c r="C168" t="s">
        <v>77</v>
      </c>
    </row>
    <row r="169" spans="1:3" x14ac:dyDescent="0.3">
      <c r="A169">
        <v>169</v>
      </c>
      <c r="B169" t="s">
        <v>485</v>
      </c>
      <c r="C169" t="s">
        <v>77</v>
      </c>
    </row>
    <row r="170" spans="1:3" x14ac:dyDescent="0.3">
      <c r="A170">
        <v>170</v>
      </c>
      <c r="B170" t="s">
        <v>486</v>
      </c>
      <c r="C170" t="s">
        <v>80</v>
      </c>
    </row>
    <row r="171" spans="1:3" x14ac:dyDescent="0.3">
      <c r="A171">
        <v>171</v>
      </c>
      <c r="B171" t="s">
        <v>487</v>
      </c>
      <c r="C171" t="s">
        <v>252</v>
      </c>
    </row>
    <row r="172" spans="1:3" x14ac:dyDescent="0.3">
      <c r="A172">
        <v>172</v>
      </c>
      <c r="B172" t="s">
        <v>216</v>
      </c>
      <c r="C172" t="s">
        <v>81</v>
      </c>
    </row>
    <row r="173" spans="1:3" x14ac:dyDescent="0.3">
      <c r="A173">
        <v>173</v>
      </c>
      <c r="B173" t="s">
        <v>488</v>
      </c>
      <c r="C173" t="s">
        <v>81</v>
      </c>
    </row>
    <row r="174" spans="1:3" x14ac:dyDescent="0.3">
      <c r="A174">
        <v>174</v>
      </c>
      <c r="B174" t="s">
        <v>46</v>
      </c>
      <c r="C174" t="s">
        <v>80</v>
      </c>
    </row>
    <row r="175" spans="1:3" x14ac:dyDescent="0.3">
      <c r="A175">
        <v>175</v>
      </c>
      <c r="B175" t="s">
        <v>489</v>
      </c>
      <c r="C175" t="s">
        <v>77</v>
      </c>
    </row>
    <row r="176" spans="1:3" x14ac:dyDescent="0.3">
      <c r="A176">
        <v>176</v>
      </c>
      <c r="B176" t="s">
        <v>523</v>
      </c>
      <c r="C176" t="s">
        <v>76</v>
      </c>
    </row>
    <row r="177" spans="1:3" x14ac:dyDescent="0.3">
      <c r="A177">
        <v>177</v>
      </c>
      <c r="B177" t="s">
        <v>491</v>
      </c>
      <c r="C177" t="s">
        <v>81</v>
      </c>
    </row>
    <row r="178" spans="1:3" x14ac:dyDescent="0.3">
      <c r="A178">
        <v>178</v>
      </c>
      <c r="B178" t="s">
        <v>332</v>
      </c>
      <c r="C178" t="s">
        <v>76</v>
      </c>
    </row>
    <row r="179" spans="1:3" x14ac:dyDescent="0.3">
      <c r="A179">
        <v>179</v>
      </c>
      <c r="B179" t="s">
        <v>218</v>
      </c>
      <c r="C179" t="s">
        <v>252</v>
      </c>
    </row>
    <row r="180" spans="1:3" x14ac:dyDescent="0.3">
      <c r="A180">
        <v>180</v>
      </c>
      <c r="B180" t="s">
        <v>492</v>
      </c>
      <c r="C180" t="s">
        <v>80</v>
      </c>
    </row>
    <row r="181" spans="1:3" x14ac:dyDescent="0.3">
      <c r="A181">
        <v>181</v>
      </c>
      <c r="B181" t="s">
        <v>493</v>
      </c>
      <c r="C181" t="s">
        <v>76</v>
      </c>
    </row>
    <row r="182" spans="1:3" x14ac:dyDescent="0.3">
      <c r="A182">
        <v>182</v>
      </c>
      <c r="B182" t="s">
        <v>494</v>
      </c>
      <c r="C182" t="s">
        <v>252</v>
      </c>
    </row>
    <row r="183" spans="1:3" x14ac:dyDescent="0.3">
      <c r="A183">
        <v>183</v>
      </c>
      <c r="B183" t="s">
        <v>219</v>
      </c>
      <c r="C183" t="s">
        <v>76</v>
      </c>
    </row>
    <row r="184" spans="1:3" x14ac:dyDescent="0.3">
      <c r="A184">
        <v>184</v>
      </c>
      <c r="B184" t="s">
        <v>495</v>
      </c>
      <c r="C184" t="s">
        <v>252</v>
      </c>
    </row>
    <row r="185" spans="1:3" x14ac:dyDescent="0.3">
      <c r="A185">
        <v>185</v>
      </c>
      <c r="B185" t="s">
        <v>26</v>
      </c>
      <c r="C185" t="s">
        <v>79</v>
      </c>
    </row>
    <row r="186" spans="1:3" x14ac:dyDescent="0.3">
      <c r="A186">
        <v>186</v>
      </c>
      <c r="B186" t="s">
        <v>496</v>
      </c>
      <c r="C186" t="s">
        <v>77</v>
      </c>
    </row>
    <row r="187" spans="1:3" x14ac:dyDescent="0.3">
      <c r="A187">
        <v>187</v>
      </c>
      <c r="B187" t="s">
        <v>63</v>
      </c>
      <c r="C187" t="s">
        <v>252</v>
      </c>
    </row>
    <row r="188" spans="1:3" x14ac:dyDescent="0.3">
      <c r="A188">
        <v>188</v>
      </c>
      <c r="B188" t="s">
        <v>220</v>
      </c>
      <c r="C188" t="s">
        <v>76</v>
      </c>
    </row>
    <row r="189" spans="1:3" x14ac:dyDescent="0.3">
      <c r="A189">
        <v>189</v>
      </c>
      <c r="B189" t="s">
        <v>497</v>
      </c>
      <c r="C189" t="s">
        <v>77</v>
      </c>
    </row>
    <row r="190" spans="1:3" x14ac:dyDescent="0.3">
      <c r="A190">
        <v>190</v>
      </c>
      <c r="B190" t="s">
        <v>498</v>
      </c>
      <c r="C190" t="s">
        <v>81</v>
      </c>
    </row>
    <row r="191" spans="1:3" x14ac:dyDescent="0.3">
      <c r="A191">
        <v>191</v>
      </c>
      <c r="B191" t="s">
        <v>499</v>
      </c>
      <c r="C191" t="s">
        <v>252</v>
      </c>
    </row>
    <row r="192" spans="1:3" x14ac:dyDescent="0.3">
      <c r="A192">
        <v>192</v>
      </c>
      <c r="B192" t="s">
        <v>500</v>
      </c>
      <c r="C192" t="s">
        <v>252</v>
      </c>
    </row>
    <row r="193" spans="1:3" x14ac:dyDescent="0.3">
      <c r="A193">
        <v>193</v>
      </c>
      <c r="B193" t="s">
        <v>501</v>
      </c>
      <c r="C193" t="s">
        <v>81</v>
      </c>
    </row>
    <row r="194" spans="1:3" x14ac:dyDescent="0.3">
      <c r="A194">
        <v>194</v>
      </c>
      <c r="B194" t="s">
        <v>502</v>
      </c>
      <c r="C194" t="s">
        <v>252</v>
      </c>
    </row>
    <row r="195" spans="1:3" x14ac:dyDescent="0.3">
      <c r="A195">
        <v>195</v>
      </c>
      <c r="B195" t="s">
        <v>32</v>
      </c>
      <c r="C195" t="s">
        <v>76</v>
      </c>
    </row>
    <row r="196" spans="1:3" x14ac:dyDescent="0.3">
      <c r="A196">
        <v>196</v>
      </c>
      <c r="B196" t="s">
        <v>223</v>
      </c>
      <c r="C196" t="s">
        <v>76</v>
      </c>
    </row>
    <row r="197" spans="1:3" x14ac:dyDescent="0.3">
      <c r="A197">
        <v>197</v>
      </c>
      <c r="B197" t="s">
        <v>224</v>
      </c>
      <c r="C197" t="s">
        <v>252</v>
      </c>
    </row>
    <row r="198" spans="1:3" x14ac:dyDescent="0.3">
      <c r="A198">
        <v>198</v>
      </c>
      <c r="B198" t="s">
        <v>503</v>
      </c>
      <c r="C198" t="s">
        <v>252</v>
      </c>
    </row>
    <row r="199" spans="1:3" x14ac:dyDescent="0.3">
      <c r="A199">
        <v>199</v>
      </c>
      <c r="B199" t="s">
        <v>504</v>
      </c>
      <c r="C199" t="s">
        <v>76</v>
      </c>
    </row>
    <row r="200" spans="1:3" x14ac:dyDescent="0.3">
      <c r="A200">
        <v>200</v>
      </c>
      <c r="B200" t="s">
        <v>117</v>
      </c>
      <c r="C200" t="s">
        <v>76</v>
      </c>
    </row>
    <row r="201" spans="1:3" x14ac:dyDescent="0.3">
      <c r="A201">
        <v>201</v>
      </c>
      <c r="B201" t="s">
        <v>505</v>
      </c>
      <c r="C201" t="s">
        <v>77</v>
      </c>
    </row>
    <row r="202" spans="1:3" x14ac:dyDescent="0.3">
      <c r="A202">
        <v>202</v>
      </c>
      <c r="B202" t="s">
        <v>506</v>
      </c>
      <c r="C202" t="s">
        <v>77</v>
      </c>
    </row>
    <row r="203" spans="1:3" x14ac:dyDescent="0.3">
      <c r="A203">
        <v>203</v>
      </c>
      <c r="B203" t="s">
        <v>507</v>
      </c>
      <c r="C203" t="s">
        <v>80</v>
      </c>
    </row>
    <row r="204" spans="1:3" x14ac:dyDescent="0.3">
      <c r="A204">
        <v>204</v>
      </c>
      <c r="B204" t="s">
        <v>349</v>
      </c>
      <c r="C204" t="s">
        <v>81</v>
      </c>
    </row>
    <row r="205" spans="1:3" x14ac:dyDescent="0.3">
      <c r="A205">
        <v>205</v>
      </c>
      <c r="B205" t="s">
        <v>22</v>
      </c>
      <c r="C205" t="s">
        <v>79</v>
      </c>
    </row>
    <row r="206" spans="1:3" x14ac:dyDescent="0.3">
      <c r="A206">
        <v>206</v>
      </c>
      <c r="B206" t="s">
        <v>508</v>
      </c>
      <c r="C206" t="s">
        <v>252</v>
      </c>
    </row>
    <row r="207" spans="1:3" x14ac:dyDescent="0.3">
      <c r="A207">
        <v>207</v>
      </c>
      <c r="B207" t="s">
        <v>509</v>
      </c>
      <c r="C207" t="s">
        <v>252</v>
      </c>
    </row>
    <row r="208" spans="1:3" x14ac:dyDescent="0.3">
      <c r="A208">
        <v>208</v>
      </c>
      <c r="B208" t="s">
        <v>227</v>
      </c>
      <c r="C208" t="s">
        <v>80</v>
      </c>
    </row>
    <row r="209" spans="1:3" x14ac:dyDescent="0.3">
      <c r="A209">
        <v>209</v>
      </c>
      <c r="B209" t="s">
        <v>510</v>
      </c>
      <c r="C209" t="s">
        <v>76</v>
      </c>
    </row>
    <row r="210" spans="1:3" x14ac:dyDescent="0.3">
      <c r="A210">
        <v>210</v>
      </c>
      <c r="B210" t="s">
        <v>228</v>
      </c>
      <c r="C210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9" t="s">
        <v>237</v>
      </c>
      <c r="J4" s="19"/>
      <c r="K4" s="19"/>
      <c r="L4" s="19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9" t="s">
        <v>247</v>
      </c>
      <c r="J19" s="19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T3PT</vt:lpstr>
      <vt:lpstr>T2PT</vt:lpstr>
      <vt:lpstr>T1PT</vt:lpstr>
      <vt:lpstr>Trial1</vt:lpstr>
      <vt:lpstr>Trial2</vt:lpstr>
      <vt:lpstr>Trial3</vt:lpstr>
      <vt:lpstr>Sheet1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2025-04-11T19:12:15Z</dcterms:modified>
</cp:coreProperties>
</file>