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GPT's Prompt\"/>
    </mc:Choice>
  </mc:AlternateContent>
  <xr:revisionPtr revIDLastSave="0" documentId="13_ncr:1_{97F51EB3-2328-4E7E-9B70-7AD4F5874CB1}" xr6:coauthVersionLast="47" xr6:coauthVersionMax="47" xr10:uidLastSave="{00000000-0000-0000-0000-000000000000}"/>
  <bookViews>
    <workbookView xWindow="-108" yWindow="-108" windowWidth="23256" windowHeight="12576" activeTab="5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K9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<sst xmlns="http://schemas.openxmlformats.org/spreadsheetml/2006/main" count="1960" uniqueCount="512">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</sst>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Gemini-NP Grok Few.xlsx]T3PT!PivotTable2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Gemini-NP Grok Few.xlsx]T3PT!PivotTable4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Gemini-NP Grok Few.xlsx]T2PT!PivotTable2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Gemini-NP Grok Few.xlsx]T2PT!PivotTable4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Gemini-NP Grok Few.xlsx]T1PT!PivotTable2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Gemini-NP Grok Few.xlsx]T1PT!PivotTable4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30</v>
      </c>
    </row>
    <row r="6" spans="1:2" x14ac:dyDescent="0.3">
      <c r="A6" s="15" t="s">
        <v>80</v>
      </c>
      <c r="B6" s="16">
        <v>30</v>
      </c>
    </row>
    <row r="7" spans="1:2" x14ac:dyDescent="0.3">
      <c r="A7" s="15" t="s">
        <v>79</v>
      </c>
      <c r="B7" s="16">
        <v>30</v>
      </c>
    </row>
    <row r="8" spans="1:2" x14ac:dyDescent="0.3">
      <c r="A8" s="15" t="s">
        <v>76</v>
      </c>
      <c r="B8" s="16">
        <v>30</v>
      </c>
    </row>
    <row r="9" spans="1:2" x14ac:dyDescent="0.3">
      <c r="A9" s="15" t="s">
        <v>252</v>
      </c>
      <c r="B9" s="16">
        <v>30</v>
      </c>
    </row>
    <row r="10" spans="1:2" x14ac:dyDescent="0.3">
      <c r="A10" s="15" t="s">
        <v>81</v>
      </c>
      <c r="B10" s="16">
        <v>30</v>
      </c>
    </row>
    <row r="11" spans="1:2" x14ac:dyDescent="0.3">
      <c r="A11" s="15" t="s">
        <v>82</v>
      </c>
      <c r="B11" s="16">
        <v>30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18</v>
      </c>
    </row>
    <row r="16" spans="1:2" x14ac:dyDescent="0.3">
      <c r="A16" s="15" t="s">
        <v>257</v>
      </c>
      <c r="B16" s="16">
        <v>96</v>
      </c>
    </row>
    <row r="17" spans="1:2" x14ac:dyDescent="0.3">
      <c r="A17" s="15" t="s">
        <v>258</v>
      </c>
      <c r="B17" s="16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20</v>
      </c>
    </row>
    <row r="6" spans="1:2" x14ac:dyDescent="0.3">
      <c r="A6" s="15" t="s">
        <v>80</v>
      </c>
      <c r="B6" s="16">
        <v>20</v>
      </c>
    </row>
    <row r="7" spans="1:2" x14ac:dyDescent="0.3">
      <c r="A7" s="15" t="s">
        <v>79</v>
      </c>
      <c r="B7" s="16">
        <v>20</v>
      </c>
    </row>
    <row r="8" spans="1:2" x14ac:dyDescent="0.3">
      <c r="A8" s="15" t="s">
        <v>76</v>
      </c>
      <c r="B8" s="16">
        <v>20</v>
      </c>
    </row>
    <row r="9" spans="1:2" x14ac:dyDescent="0.3">
      <c r="A9" s="15" t="s">
        <v>252</v>
      </c>
      <c r="B9" s="16">
        <v>20</v>
      </c>
    </row>
    <row r="10" spans="1:2" x14ac:dyDescent="0.3">
      <c r="A10" s="15" t="s">
        <v>81</v>
      </c>
      <c r="B10" s="16">
        <v>20</v>
      </c>
    </row>
    <row r="11" spans="1:2" x14ac:dyDescent="0.3">
      <c r="A11" s="15" t="s">
        <v>82</v>
      </c>
      <c r="B11" s="16">
        <v>20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23</v>
      </c>
    </row>
    <row r="16" spans="1:2" x14ac:dyDescent="0.3">
      <c r="A16" s="15" t="s">
        <v>257</v>
      </c>
      <c r="B16" s="16">
        <v>51</v>
      </c>
    </row>
    <row r="17" spans="1:2" x14ac:dyDescent="0.3">
      <c r="A17" s="15" t="s">
        <v>258</v>
      </c>
      <c r="B17" s="16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14" t="s">
        <v>255</v>
      </c>
      <c r="B3" s="14" t="s">
        <v>253</v>
      </c>
    </row>
    <row r="4" spans="1:2" x14ac:dyDescent="0.3">
      <c r="A4" s="14" t="s">
        <v>254</v>
      </c>
      <c r="B4" s="18" t="s">
        <v>511</v>
      </c>
    </row>
    <row r="5" spans="1:2" x14ac:dyDescent="0.3">
      <c r="A5" s="15" t="s">
        <v>77</v>
      </c>
      <c r="B5" s="16">
        <v>10</v>
      </c>
    </row>
    <row r="6" spans="1:2" x14ac:dyDescent="0.3">
      <c r="A6" s="15" t="s">
        <v>80</v>
      </c>
      <c r="B6" s="16">
        <v>10</v>
      </c>
    </row>
    <row r="7" spans="1:2" x14ac:dyDescent="0.3">
      <c r="A7" s="15" t="s">
        <v>79</v>
      </c>
      <c r="B7" s="16">
        <v>10</v>
      </c>
    </row>
    <row r="8" spans="1:2" x14ac:dyDescent="0.3">
      <c r="A8" s="15" t="s">
        <v>76</v>
      </c>
      <c r="B8" s="16">
        <v>10</v>
      </c>
    </row>
    <row r="9" spans="1:2" x14ac:dyDescent="0.3">
      <c r="A9" s="15" t="s">
        <v>252</v>
      </c>
      <c r="B9" s="16">
        <v>10</v>
      </c>
    </row>
    <row r="10" spans="1:2" x14ac:dyDescent="0.3">
      <c r="A10" s="15" t="s">
        <v>81</v>
      </c>
      <c r="B10" s="16">
        <v>10</v>
      </c>
    </row>
    <row r="11" spans="1:2" x14ac:dyDescent="0.3">
      <c r="A11" s="15" t="s">
        <v>82</v>
      </c>
      <c r="B11" s="16">
        <v>10</v>
      </c>
    </row>
    <row r="13" spans="1:2" x14ac:dyDescent="0.3">
      <c r="A13" s="14" t="s">
        <v>255</v>
      </c>
      <c r="B13" s="14" t="s">
        <v>253</v>
      </c>
    </row>
    <row r="14" spans="1:2" x14ac:dyDescent="0.3">
      <c r="A14" s="14" t="s">
        <v>254</v>
      </c>
      <c r="B14" s="18" t="s">
        <v>261</v>
      </c>
    </row>
    <row r="15" spans="1:2" x14ac:dyDescent="0.3">
      <c r="A15" s="15" t="s">
        <v>256</v>
      </c>
      <c r="B15" s="16">
        <v>15</v>
      </c>
    </row>
    <row r="16" spans="1:2" x14ac:dyDescent="0.3">
      <c r="A16" s="15" t="s">
        <v>257</v>
      </c>
      <c r="B16" s="16">
        <v>21</v>
      </c>
    </row>
    <row r="17" spans="1:2" x14ac:dyDescent="0.3">
      <c r="A17" s="15" t="s">
        <v>258</v>
      </c>
      <c r="B17" s="16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B1" zoomScale="87" workbookViewId="0">
      <selection activeCell="D2" sqref="D2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E2" s="17" t="s">
        <v>252</v>
      </c>
      <c r="F2" s="1" t="b">
        <f>IF(D2=E2, TRUE, FALSE)</f>
        <v>0</v>
      </c>
      <c r="H2" s="1">
        <f>COUNTA(B2:B71)</f>
        <v>70</v>
      </c>
      <c r="I2" s="1">
        <f>COUNTIF(F2:F71, TRUE)</f>
        <v>0</v>
      </c>
      <c r="J2" s="4">
        <f>(I2/H2)</f>
        <v>0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E3" s="17" t="s">
        <v>80</v>
      </c>
      <c r="F3" s="13" t="b">
        <f t="shared" ref="F3:F66" si="0">IF(D3=E3, TRUE, FALSE)</f>
        <v>0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E4" s="17" t="s">
        <v>82</v>
      </c>
      <c r="F4" s="13" t="b">
        <f t="shared" si="0"/>
        <v>0</v>
      </c>
      <c r="H4" s="19" t="s">
        <v>237</v>
      </c>
      <c r="I4" s="19"/>
      <c r="J4" s="19"/>
      <c r="K4" s="19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E5" s="17" t="s">
        <v>80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E6" s="17" t="s">
        <v>80</v>
      </c>
      <c r="F6" s="13" t="b">
        <f t="shared" si="0"/>
        <v>0</v>
      </c>
      <c r="H6" s="1" t="s">
        <v>252</v>
      </c>
      <c r="I6" s="1">
        <f>COUNTIF($E$2:$E$71,H6)</f>
        <v>10</v>
      </c>
      <c r="J6" s="1">
        <f>COUNTIFS($E$2:$E$71, H6, $D$2:$D$71, H6)</f>
        <v>0</v>
      </c>
      <c r="K6" s="3">
        <f>J6/I6</f>
        <v>0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E7" s="17" t="s">
        <v>252</v>
      </c>
      <c r="F7" s="13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0</v>
      </c>
      <c r="K7" s="3">
        <f t="shared" ref="K7:K12" si="3">J7/I7</f>
        <v>0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0</v>
      </c>
      <c r="K8" s="3">
        <f t="shared" si="3"/>
        <v>0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E9" s="17" t="s">
        <v>76</v>
      </c>
      <c r="F9" s="13" t="b">
        <f t="shared" si="0"/>
        <v>0</v>
      </c>
      <c r="H9" s="1" t="s">
        <v>77</v>
      </c>
      <c r="I9" s="1">
        <f t="shared" si="1"/>
        <v>10</v>
      </c>
      <c r="J9" s="1">
        <f t="shared" si="2"/>
        <v>0</v>
      </c>
      <c r="K9" s="3">
        <f t="shared" si="3"/>
        <v>0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E10" s="17" t="s">
        <v>80</v>
      </c>
      <c r="F10" s="13" t="b">
        <f t="shared" si="0"/>
        <v>0</v>
      </c>
      <c r="H10" s="1" t="s">
        <v>82</v>
      </c>
      <c r="I10" s="1">
        <f t="shared" si="1"/>
        <v>10</v>
      </c>
      <c r="J10" s="1">
        <f t="shared" si="2"/>
        <v>0</v>
      </c>
      <c r="K10" s="3">
        <f t="shared" si="3"/>
        <v>0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E11" s="17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0</v>
      </c>
      <c r="K11" s="3">
        <f t="shared" si="3"/>
        <v>0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E12" s="17" t="s">
        <v>76</v>
      </c>
      <c r="F12" s="13" t="b">
        <f t="shared" si="0"/>
        <v>0</v>
      </c>
      <c r="H12" s="1" t="s">
        <v>76</v>
      </c>
      <c r="I12" s="1">
        <f t="shared" si="1"/>
        <v>10</v>
      </c>
      <c r="J12" s="1">
        <f t="shared" si="2"/>
        <v>0</v>
      </c>
      <c r="K12" s="3">
        <f t="shared" si="3"/>
        <v>0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E13" s="17" t="s">
        <v>76</v>
      </c>
      <c r="F13" s="13" t="b">
        <f t="shared" si="0"/>
        <v>0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E14" s="17" t="s">
        <v>80</v>
      </c>
      <c r="F14" s="13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E15" s="17" t="s">
        <v>76</v>
      </c>
      <c r="F15" s="13" t="b">
        <f t="shared" si="0"/>
        <v>0</v>
      </c>
      <c r="H15" s="1" t="s">
        <v>258</v>
      </c>
      <c r="I15" s="1">
        <f>COUNTIF(C2:C71, "Short")</f>
        <v>34</v>
      </c>
      <c r="J15" s="1">
        <f>COUNTIFS(C2:C71, "Short", F2:F71, TRUE)</f>
        <v>0</v>
      </c>
      <c r="K15" s="4">
        <f>J15/I15</f>
        <v>0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E16" s="17" t="s">
        <v>79</v>
      </c>
      <c r="F16" s="13" t="b">
        <f t="shared" si="0"/>
        <v>0</v>
      </c>
      <c r="H16" s="1" t="s">
        <v>257</v>
      </c>
      <c r="I16" s="6">
        <f>COUNTIF(C2:C71, "Medium")</f>
        <v>21</v>
      </c>
      <c r="J16" s="1">
        <f>COUNTIFS(C2:C71, "Medium", F2:F71, TRUE)</f>
        <v>0</v>
      </c>
      <c r="K16" s="4">
        <f t="shared" ref="K16:K17" si="4">J16/I16</f>
        <v>0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0</v>
      </c>
      <c r="K17" s="4">
        <f t="shared" si="4"/>
        <v>0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E19" s="17" t="s">
        <v>252</v>
      </c>
      <c r="F19" s="13" t="b">
        <f t="shared" si="0"/>
        <v>0</v>
      </c>
      <c r="H19" s="19" t="s">
        <v>247</v>
      </c>
      <c r="I19" s="19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E22" s="17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E24" s="17" t="s">
        <v>79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E25" s="17" t="s">
        <v>81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E28" s="17" t="s">
        <v>76</v>
      </c>
      <c r="F28" s="13" t="b">
        <f t="shared" si="0"/>
        <v>0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E30" s="17" t="s">
        <v>76</v>
      </c>
      <c r="F30" s="13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E31" s="17" t="s">
        <v>252</v>
      </c>
      <c r="F31" s="13" t="b">
        <f t="shared" si="0"/>
        <v>0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E32" s="17" t="s">
        <v>77</v>
      </c>
      <c r="F32" s="13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10">
        <f>J32/I11</f>
        <v>0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E33" s="17" t="s">
        <v>76</v>
      </c>
      <c r="F33" s="13" t="b">
        <f t="shared" si="0"/>
        <v>0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E34" s="17" t="s">
        <v>77</v>
      </c>
      <c r="F34" s="13" t="b">
        <f t="shared" si="0"/>
        <v>0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E35" s="17" t="s">
        <v>80</v>
      </c>
      <c r="F35" s="13" t="b">
        <f t="shared" si="0"/>
        <v>0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E36" s="17" t="s">
        <v>80</v>
      </c>
      <c r="F36" s="13" t="b">
        <f t="shared" si="0"/>
        <v>0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E37" s="17" t="s">
        <v>81</v>
      </c>
      <c r="F37" s="13" t="b">
        <f t="shared" si="0"/>
        <v>0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E38" s="17" t="s">
        <v>252</v>
      </c>
      <c r="F38" s="13" t="b">
        <f t="shared" si="0"/>
        <v>0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E39" s="17" t="s">
        <v>79</v>
      </c>
      <c r="F39" s="13" t="b">
        <f t="shared" si="0"/>
        <v>0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E40" s="17" t="s">
        <v>82</v>
      </c>
      <c r="F40" s="13" t="b">
        <f t="shared" si="0"/>
        <v>0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E42" s="17" t="s">
        <v>81</v>
      </c>
      <c r="F42" s="13" t="b">
        <f t="shared" si="0"/>
        <v>0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E43" s="17" t="s">
        <v>81</v>
      </c>
      <c r="F43" s="13" t="b">
        <f t="shared" si="0"/>
        <v>0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E44" s="17" t="s">
        <v>80</v>
      </c>
      <c r="F44" s="13" t="b">
        <f t="shared" si="0"/>
        <v>0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E45" s="17" t="s">
        <v>252</v>
      </c>
      <c r="F45" s="13" t="b">
        <f t="shared" si="0"/>
        <v>0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E46" s="17" t="s">
        <v>81</v>
      </c>
      <c r="F46" s="13" t="b">
        <f t="shared" si="0"/>
        <v>0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E48" s="17" t="s">
        <v>79</v>
      </c>
      <c r="F48" s="13" t="b">
        <f t="shared" si="0"/>
        <v>0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E50" s="17" t="s">
        <v>81</v>
      </c>
      <c r="F50" s="13" t="b">
        <f t="shared" si="0"/>
        <v>0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E52" s="17" t="s">
        <v>76</v>
      </c>
      <c r="F52" s="13" t="b">
        <f t="shared" si="0"/>
        <v>0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E53" s="17" t="s">
        <v>82</v>
      </c>
      <c r="F53" s="13" t="b">
        <f t="shared" si="0"/>
        <v>0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E54" s="17" t="s">
        <v>77</v>
      </c>
      <c r="F54" s="13" t="b">
        <f t="shared" si="0"/>
        <v>0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E56" s="17" t="s">
        <v>252</v>
      </c>
      <c r="F56" s="13" t="b">
        <f t="shared" si="0"/>
        <v>0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E57" s="17" t="s">
        <v>77</v>
      </c>
      <c r="F57" s="13" t="b">
        <f t="shared" si="0"/>
        <v>0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E59" s="17" t="s">
        <v>81</v>
      </c>
      <c r="F59" s="13" t="b">
        <f t="shared" si="0"/>
        <v>0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E61" s="17" t="s">
        <v>252</v>
      </c>
      <c r="F61" s="13" t="b">
        <f t="shared" si="0"/>
        <v>0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E62" s="17" t="s">
        <v>252</v>
      </c>
      <c r="F62" s="13" t="b">
        <f t="shared" si="0"/>
        <v>0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E63" s="17" t="s">
        <v>81</v>
      </c>
      <c r="F63" s="13" t="b">
        <f t="shared" si="0"/>
        <v>0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E65" s="17" t="s">
        <v>76</v>
      </c>
      <c r="F65" s="13" t="b">
        <f t="shared" si="0"/>
        <v>0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E67" s="17" t="s">
        <v>82</v>
      </c>
      <c r="F67" s="13" t="b">
        <f t="shared" ref="F67:F71" si="7">IF(D67=E67, TRUE, FALSE)</f>
        <v>0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E70" s="17" t="s">
        <v>80</v>
      </c>
      <c r="F70" s="13" t="b">
        <f t="shared" si="7"/>
        <v>0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E71" s="17" t="s">
        <v>76</v>
      </c>
      <c r="F71" s="13" t="b">
        <f t="shared" si="7"/>
        <v>0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1" zoomScale="85" zoomScaleNormal="85" workbookViewId="0">
      <selection activeCell="D2" sqref="D2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"/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0</v>
      </c>
      <c r="J2" s="4">
        <f>I2/H2</f>
        <v>0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"/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"/>
      <c r="E4" s="1" t="s">
        <v>77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"/>
      <c r="E5" s="1" t="s">
        <v>81</v>
      </c>
      <c r="F5" s="13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"/>
      <c r="E6" s="1" t="s">
        <v>77</v>
      </c>
      <c r="F6" s="13" t="b">
        <f t="shared" si="0"/>
        <v>0</v>
      </c>
      <c r="H6" s="1" t="s">
        <v>252</v>
      </c>
      <c r="I6" s="1">
        <f>COUNTIF($E$2:$E$141,H6)</f>
        <v>20</v>
      </c>
      <c r="J6" s="1">
        <f>COUNTIFS($E$2:$E$141, H6, $D$2:$D$141, H6)</f>
        <v>0</v>
      </c>
      <c r="K6" s="3">
        <f>J6/I6</f>
        <v>0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"/>
      <c r="E7" s="1" t="s">
        <v>77</v>
      </c>
      <c r="F7" s="13" t="b">
        <f t="shared" si="0"/>
        <v>0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0</v>
      </c>
      <c r="K7" s="3">
        <f t="shared" ref="K7:K12" si="3">J7/I7</f>
        <v>0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"/>
      <c r="E8" s="1" t="s">
        <v>80</v>
      </c>
      <c r="F8" s="13" t="b">
        <f t="shared" si="0"/>
        <v>0</v>
      </c>
      <c r="H8" s="1" t="s">
        <v>79</v>
      </c>
      <c r="I8" s="1">
        <f t="shared" si="1"/>
        <v>20</v>
      </c>
      <c r="J8" s="1">
        <f t="shared" si="2"/>
        <v>0</v>
      </c>
      <c r="K8" s="3">
        <f t="shared" si="3"/>
        <v>0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"/>
      <c r="E9" s="1" t="s">
        <v>80</v>
      </c>
      <c r="F9" s="13" t="b">
        <f t="shared" si="0"/>
        <v>0</v>
      </c>
      <c r="H9" s="1" t="s">
        <v>77</v>
      </c>
      <c r="I9" s="1">
        <f t="shared" si="1"/>
        <v>20</v>
      </c>
      <c r="J9" s="1">
        <f t="shared" si="2"/>
        <v>0</v>
      </c>
      <c r="K9" s="3">
        <f t="shared" si="3"/>
        <v>0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"/>
      <c r="E10" s="1" t="s">
        <v>252</v>
      </c>
      <c r="F10" s="13" t="b">
        <f t="shared" si="0"/>
        <v>0</v>
      </c>
      <c r="H10" s="1" t="s">
        <v>82</v>
      </c>
      <c r="I10" s="1">
        <f t="shared" si="1"/>
        <v>20</v>
      </c>
      <c r="J10" s="1">
        <f t="shared" si="2"/>
        <v>0</v>
      </c>
      <c r="K10" s="3">
        <f t="shared" si="3"/>
        <v>0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"/>
      <c r="E11" s="1" t="s">
        <v>76</v>
      </c>
      <c r="F11" s="13" t="b">
        <f t="shared" si="0"/>
        <v>0</v>
      </c>
      <c r="H11" s="1" t="s">
        <v>80</v>
      </c>
      <c r="I11" s="1">
        <f t="shared" si="1"/>
        <v>20</v>
      </c>
      <c r="J11" s="1">
        <f t="shared" si="2"/>
        <v>0</v>
      </c>
      <c r="K11" s="3">
        <f t="shared" si="3"/>
        <v>0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"/>
      <c r="E12" s="1" t="s">
        <v>76</v>
      </c>
      <c r="F12" s="13" t="b">
        <f t="shared" si="0"/>
        <v>0</v>
      </c>
      <c r="H12" s="1" t="s">
        <v>76</v>
      </c>
      <c r="I12" s="1">
        <f t="shared" si="1"/>
        <v>20</v>
      </c>
      <c r="J12" s="1">
        <f t="shared" si="2"/>
        <v>0</v>
      </c>
      <c r="K12" s="3">
        <f t="shared" si="3"/>
        <v>0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"/>
      <c r="E13" s="1" t="s">
        <v>80</v>
      </c>
      <c r="F13" s="13" t="b">
        <f t="shared" si="0"/>
        <v>0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"/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"/>
      <c r="E15" s="1" t="s">
        <v>76</v>
      </c>
      <c r="F15" s="13" t="b">
        <f t="shared" si="0"/>
        <v>0</v>
      </c>
      <c r="H15" s="6" t="s">
        <v>258</v>
      </c>
      <c r="I15" s="6">
        <f>COUNTIF(C2:C141, "Short")</f>
        <v>66</v>
      </c>
      <c r="J15" s="6">
        <f>COUNTIFS(C2:C141, "Short", F2:F141, TRUE)</f>
        <v>0</v>
      </c>
      <c r="K15" s="4">
        <f>J15/I15</f>
        <v>0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"/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0</v>
      </c>
      <c r="K16" s="4">
        <f t="shared" ref="K16:K17" si="4">J16/I16</f>
        <v>0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"/>
      <c r="E17" s="1" t="s">
        <v>252</v>
      </c>
      <c r="F17" s="13" t="b">
        <f t="shared" si="0"/>
        <v>0</v>
      </c>
      <c r="H17" s="6" t="s">
        <v>256</v>
      </c>
      <c r="I17" s="6">
        <f>COUNTIF(C2:C141, "Long")</f>
        <v>23</v>
      </c>
      <c r="J17" s="6">
        <f>COUNTIFS(C2:C141, "Long", F2:F141, TRUE)</f>
        <v>0</v>
      </c>
      <c r="K17" s="4">
        <f t="shared" si="4"/>
        <v>0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"/>
      <c r="E18" s="1" t="s">
        <v>79</v>
      </c>
      <c r="F18" s="13" t="b">
        <f t="shared" si="0"/>
        <v>0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"/>
      <c r="E19" s="1" t="s">
        <v>77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"/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"/>
      <c r="E21" s="1" t="s">
        <v>81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"/>
      <c r="E22" s="1" t="s">
        <v>76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"/>
      <c r="E23" s="1" t="s">
        <v>77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0</v>
      </c>
      <c r="K23" s="10">
        <f>J23/I9</f>
        <v>0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"/>
      <c r="E24" s="1" t="s">
        <v>77</v>
      </c>
      <c r="F24" s="13" t="b">
        <f t="shared" si="0"/>
        <v>0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"/>
      <c r="E25" s="1" t="s">
        <v>79</v>
      </c>
      <c r="F25" s="13" t="b">
        <f t="shared" si="0"/>
        <v>0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"/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"/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"/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"/>
      <c r="E29" s="1" t="s">
        <v>76</v>
      </c>
      <c r="F29" s="13" t="b">
        <f t="shared" si="0"/>
        <v>0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"/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"/>
      <c r="E31" s="1" t="s">
        <v>77</v>
      </c>
      <c r="F31" s="13" t="b">
        <f t="shared" si="0"/>
        <v>0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"/>
      <c r="E32" s="1" t="s">
        <v>252</v>
      </c>
      <c r="F32" s="13" t="b">
        <f t="shared" si="0"/>
        <v>0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"/>
      <c r="E33" s="1" t="s">
        <v>79</v>
      </c>
      <c r="F33" s="13" t="b">
        <f t="shared" si="0"/>
        <v>0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"/>
      <c r="E34" s="1" t="s">
        <v>80</v>
      </c>
      <c r="F34" s="13" t="b">
        <f t="shared" si="0"/>
        <v>0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"/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"/>
      <c r="E36" s="1" t="s">
        <v>76</v>
      </c>
      <c r="F36" s="13" t="b">
        <f t="shared" si="0"/>
        <v>0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"/>
      <c r="E37" s="1" t="s">
        <v>76</v>
      </c>
      <c r="F37" s="13" t="b">
        <f t="shared" si="0"/>
        <v>0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"/>
      <c r="E38" s="1" t="s">
        <v>81</v>
      </c>
      <c r="F38" s="13" t="b">
        <f t="shared" si="0"/>
        <v>0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"/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"/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"/>
      <c r="E41" s="1" t="s">
        <v>77</v>
      </c>
      <c r="F41" s="13" t="b">
        <f t="shared" si="0"/>
        <v>0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"/>
      <c r="E42" s="1" t="s">
        <v>80</v>
      </c>
      <c r="F42" s="13" t="b">
        <f t="shared" si="0"/>
        <v>0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"/>
      <c r="E43" s="1" t="s">
        <v>76</v>
      </c>
      <c r="F43" s="13" t="b">
        <f t="shared" si="0"/>
        <v>0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"/>
      <c r="E44" s="1" t="s">
        <v>252</v>
      </c>
      <c r="F44" s="13" t="b">
        <f t="shared" si="0"/>
        <v>0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"/>
      <c r="E45" s="1" t="s">
        <v>79</v>
      </c>
      <c r="F45" s="13" t="b">
        <f t="shared" si="0"/>
        <v>0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"/>
      <c r="E46" s="1" t="s">
        <v>252</v>
      </c>
      <c r="F46" s="13" t="b">
        <f t="shared" si="0"/>
        <v>0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"/>
      <c r="E47" s="1" t="s">
        <v>76</v>
      </c>
      <c r="F47" s="13" t="b">
        <f t="shared" si="0"/>
        <v>0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"/>
      <c r="E48" s="1" t="s">
        <v>81</v>
      </c>
      <c r="F48" s="13" t="b">
        <f t="shared" si="0"/>
        <v>0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"/>
      <c r="E49" s="1" t="s">
        <v>76</v>
      </c>
      <c r="F49" s="13" t="b">
        <f t="shared" si="0"/>
        <v>0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"/>
      <c r="E50" s="1" t="s">
        <v>81</v>
      </c>
      <c r="F50" s="13" t="b">
        <f t="shared" si="0"/>
        <v>0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"/>
      <c r="E51" s="1" t="s">
        <v>80</v>
      </c>
      <c r="F51" s="13" t="b">
        <f t="shared" si="0"/>
        <v>0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"/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"/>
      <c r="E53" s="1" t="s">
        <v>76</v>
      </c>
      <c r="F53" s="13" t="b">
        <f t="shared" si="0"/>
        <v>0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"/>
      <c r="E54" s="1" t="s">
        <v>79</v>
      </c>
      <c r="F54" s="13" t="b">
        <f t="shared" si="0"/>
        <v>0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"/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"/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"/>
      <c r="E57" s="1" t="s">
        <v>76</v>
      </c>
      <c r="F57" s="13" t="b">
        <f t="shared" si="0"/>
        <v>0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"/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"/>
      <c r="E59" s="1" t="s">
        <v>79</v>
      </c>
      <c r="F59" s="13" t="b">
        <f t="shared" si="0"/>
        <v>0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"/>
      <c r="E60" s="1" t="s">
        <v>79</v>
      </c>
      <c r="F60" s="13" t="b">
        <f t="shared" si="0"/>
        <v>0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"/>
      <c r="E61" s="1" t="s">
        <v>76</v>
      </c>
      <c r="F61" s="13" t="b">
        <f t="shared" si="0"/>
        <v>0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"/>
      <c r="E62" s="1" t="s">
        <v>252</v>
      </c>
      <c r="F62" s="13" t="b">
        <f t="shared" si="0"/>
        <v>0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"/>
      <c r="E63" s="1" t="s">
        <v>79</v>
      </c>
      <c r="F63" s="13" t="b">
        <f t="shared" si="0"/>
        <v>0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"/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"/>
      <c r="E65" s="1" t="s">
        <v>81</v>
      </c>
      <c r="F65" s="13" t="b">
        <f t="shared" si="0"/>
        <v>0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"/>
      <c r="E66" s="1" t="s">
        <v>80</v>
      </c>
      <c r="F66" s="13" t="b">
        <f t="shared" si="0"/>
        <v>0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"/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"/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"/>
      <c r="E69" s="1" t="s">
        <v>80</v>
      </c>
      <c r="F69" s="13" t="b">
        <f t="shared" si="7"/>
        <v>0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"/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"/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"/>
      <c r="E72" s="1" t="s">
        <v>252</v>
      </c>
      <c r="F72" s="13" t="b">
        <f t="shared" si="7"/>
        <v>0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"/>
      <c r="E73" s="1" t="s">
        <v>252</v>
      </c>
      <c r="F73" s="13" t="b">
        <f t="shared" si="7"/>
        <v>0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"/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"/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"/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"/>
      <c r="E77" s="1" t="s">
        <v>82</v>
      </c>
      <c r="F77" s="13" t="b">
        <f t="shared" si="7"/>
        <v>0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"/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"/>
      <c r="E79" s="1" t="s">
        <v>81</v>
      </c>
      <c r="F79" s="13" t="b">
        <f t="shared" si="7"/>
        <v>0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"/>
      <c r="E80" s="1" t="s">
        <v>81</v>
      </c>
      <c r="F80" s="13" t="b">
        <f t="shared" si="7"/>
        <v>0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"/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"/>
      <c r="E82" s="1" t="s">
        <v>80</v>
      </c>
      <c r="F82" s="13" t="b">
        <f t="shared" si="7"/>
        <v>0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"/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"/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"/>
      <c r="E85" s="1" t="s">
        <v>77</v>
      </c>
      <c r="F85" s="13" t="b">
        <f t="shared" si="7"/>
        <v>0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"/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"/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"/>
      <c r="E88" s="1" t="s">
        <v>252</v>
      </c>
      <c r="F88" s="13" t="b">
        <f t="shared" si="7"/>
        <v>0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"/>
      <c r="E89" s="1" t="s">
        <v>80</v>
      </c>
      <c r="F89" s="13" t="b">
        <f t="shared" si="7"/>
        <v>0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"/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"/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"/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"/>
      <c r="E93" s="1" t="s">
        <v>77</v>
      </c>
      <c r="F93" s="13" t="b">
        <f t="shared" si="7"/>
        <v>0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"/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"/>
      <c r="E95" s="1" t="s">
        <v>77</v>
      </c>
      <c r="F95" s="13" t="b">
        <f t="shared" si="7"/>
        <v>0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"/>
      <c r="E96" s="1" t="s">
        <v>76</v>
      </c>
      <c r="F96" s="13" t="b">
        <f t="shared" si="7"/>
        <v>0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"/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"/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"/>
      <c r="E99" s="1" t="s">
        <v>77</v>
      </c>
      <c r="F99" s="13" t="b">
        <f t="shared" si="7"/>
        <v>0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"/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"/>
      <c r="E101" s="1" t="s">
        <v>252</v>
      </c>
      <c r="F101" s="13" t="b">
        <f t="shared" si="7"/>
        <v>0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"/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"/>
      <c r="E103" s="1" t="s">
        <v>80</v>
      </c>
      <c r="F103" s="13" t="b">
        <f t="shared" si="7"/>
        <v>0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"/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"/>
      <c r="E105" s="1" t="s">
        <v>80</v>
      </c>
      <c r="F105" s="13" t="b">
        <f t="shared" si="7"/>
        <v>0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"/>
      <c r="E106" s="1" t="s">
        <v>81</v>
      </c>
      <c r="F106" s="13" t="b">
        <f t="shared" si="7"/>
        <v>0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"/>
      <c r="E107" s="1" t="s">
        <v>79</v>
      </c>
      <c r="F107" s="13" t="b">
        <f t="shared" si="7"/>
        <v>0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"/>
      <c r="E108" s="1" t="s">
        <v>77</v>
      </c>
      <c r="F108" s="13" t="b">
        <f t="shared" si="7"/>
        <v>0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"/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"/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"/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"/>
      <c r="E112" s="1" t="s">
        <v>252</v>
      </c>
      <c r="F112" s="13" t="b">
        <f t="shared" si="7"/>
        <v>0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"/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"/>
      <c r="E114" s="1" t="s">
        <v>76</v>
      </c>
      <c r="F114" s="13" t="b">
        <f t="shared" si="7"/>
        <v>0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"/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"/>
      <c r="E116" s="1" t="s">
        <v>81</v>
      </c>
      <c r="F116" s="13" t="b">
        <f t="shared" si="7"/>
        <v>0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"/>
      <c r="E117" s="1" t="s">
        <v>82</v>
      </c>
      <c r="F117" s="13" t="b">
        <f t="shared" si="7"/>
        <v>0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"/>
      <c r="E118" s="1" t="s">
        <v>77</v>
      </c>
      <c r="F118" s="13" t="b">
        <f t="shared" si="7"/>
        <v>0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"/>
      <c r="E119" s="1" t="s">
        <v>252</v>
      </c>
      <c r="F119" s="13" t="b">
        <f t="shared" si="7"/>
        <v>0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"/>
      <c r="E120" s="1" t="s">
        <v>82</v>
      </c>
      <c r="F120" s="13" t="b">
        <f t="shared" si="7"/>
        <v>0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"/>
      <c r="E121" s="1" t="s">
        <v>80</v>
      </c>
      <c r="F121" s="13" t="b">
        <f t="shared" si="7"/>
        <v>0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"/>
      <c r="E122" s="1" t="s">
        <v>76</v>
      </c>
      <c r="F122" s="13" t="b">
        <f t="shared" si="7"/>
        <v>0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"/>
      <c r="E123" s="1" t="s">
        <v>76</v>
      </c>
      <c r="F123" s="13" t="b">
        <f t="shared" si="7"/>
        <v>0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"/>
      <c r="E124" s="1" t="s">
        <v>76</v>
      </c>
      <c r="F124" s="13" t="b">
        <f t="shared" si="7"/>
        <v>0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"/>
      <c r="E125" s="1" t="s">
        <v>80</v>
      </c>
      <c r="F125" s="13" t="b">
        <f t="shared" si="7"/>
        <v>0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"/>
      <c r="E126" s="1" t="s">
        <v>79</v>
      </c>
      <c r="F126" s="13" t="b">
        <f t="shared" si="7"/>
        <v>0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"/>
      <c r="E127" s="1" t="s">
        <v>76</v>
      </c>
      <c r="F127" s="13" t="b">
        <f t="shared" si="7"/>
        <v>0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"/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"/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"/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"/>
      <c r="E131" s="1" t="s">
        <v>76</v>
      </c>
      <c r="F131" s="13" t="b">
        <f t="shared" ref="F131:F141" si="8">IF(D131=E131, TRUE, FALSE)</f>
        <v>0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"/>
      <c r="E132" s="1" t="s">
        <v>81</v>
      </c>
      <c r="F132" s="13" t="b">
        <f t="shared" si="8"/>
        <v>0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"/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"/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"/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"/>
      <c r="E136" s="1" t="s">
        <v>252</v>
      </c>
      <c r="F136" s="13" t="b">
        <f t="shared" si="8"/>
        <v>0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"/>
      <c r="E137" s="1" t="s">
        <v>252</v>
      </c>
      <c r="F137" s="13" t="b">
        <f t="shared" si="8"/>
        <v>0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"/>
      <c r="E138" s="1" t="s">
        <v>80</v>
      </c>
      <c r="F138" s="13" t="b">
        <f t="shared" si="8"/>
        <v>0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"/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"/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"/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abSelected="1" topLeftCell="B1" zoomScale="85" zoomScaleNormal="85" workbookViewId="0">
      <selection activeCell="H3" sqref="H3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8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155</v>
      </c>
      <c r="J2" s="4">
        <f>I2/H2</f>
        <v>0.73809523809523814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8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8" t="s">
        <v>77</v>
      </c>
      <c r="E4" s="1" t="s">
        <v>79</v>
      </c>
      <c r="F4" s="13" t="b">
        <f t="shared" si="0"/>
        <v>0</v>
      </c>
      <c r="H4" s="19" t="s">
        <v>237</v>
      </c>
      <c r="I4" s="19"/>
      <c r="J4" s="19"/>
      <c r="K4" s="19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8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8" t="s">
        <v>82</v>
      </c>
      <c r="E6" s="1" t="s">
        <v>82</v>
      </c>
      <c r="F6" s="13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26</v>
      </c>
      <c r="K6" s="3">
        <f>J6/I6</f>
        <v>0.8666666666666667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8" t="s">
        <v>77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25</v>
      </c>
      <c r="K7" s="3">
        <f t="shared" ref="K7:K12" si="3">J7/I7</f>
        <v>0.83333333333333337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8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20</v>
      </c>
      <c r="K8" s="3">
        <f t="shared" si="3"/>
        <v>0.66666666666666663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8" t="s">
        <v>81</v>
      </c>
      <c r="E9" s="1" t="s">
        <v>81</v>
      </c>
      <c r="F9" s="13" t="b">
        <f t="shared" si="0"/>
        <v>1</v>
      </c>
      <c r="H9" s="1" t="s">
        <v>77</v>
      </c>
      <c r="I9" s="1">
        <f t="shared" si="1"/>
        <v>30</v>
      </c>
      <c r="J9" s="1">
        <f t="shared" si="2"/>
        <v>27</v>
      </c>
      <c r="K9" s="3">
        <f t="shared" si="3"/>
        <v>0.9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8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6</v>
      </c>
      <c r="K10" s="3">
        <f t="shared" si="3"/>
        <v>0.2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8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23</v>
      </c>
      <c r="K11" s="3">
        <f t="shared" si="3"/>
        <v>0.76666666666666672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8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28</v>
      </c>
      <c r="K12" s="3">
        <f t="shared" si="3"/>
        <v>0.93333333333333335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8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8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8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74</v>
      </c>
      <c r="K15" s="4">
        <f>J15/I15</f>
        <v>0.77083333333333337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8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69</v>
      </c>
      <c r="K16" s="4">
        <f t="shared" ref="K16:K17" si="4">J16/I16</f>
        <v>0.71875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8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12</v>
      </c>
      <c r="K17" s="4">
        <f t="shared" si="4"/>
        <v>0.66666666666666663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8" t="s">
        <v>80</v>
      </c>
      <c r="E18" s="1" t="s">
        <v>80</v>
      </c>
      <c r="F18" s="13" t="b">
        <f t="shared" si="0"/>
        <v>1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8" t="s">
        <v>81</v>
      </c>
      <c r="E19" s="1" t="s">
        <v>82</v>
      </c>
      <c r="F19" s="13" t="b">
        <f t="shared" si="0"/>
        <v>0</v>
      </c>
      <c r="H19" s="19" t="s">
        <v>247</v>
      </c>
      <c r="I19" s="19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8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8" t="s">
        <v>252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3.3333333333333333E-2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8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8" t="s">
        <v>77</v>
      </c>
      <c r="E23" s="1" t="s">
        <v>80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3.3333333333333333E-2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8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8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8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8" t="s">
        <v>252</v>
      </c>
      <c r="E27" s="1" t="s">
        <v>252</v>
      </c>
      <c r="F27" s="13" t="b">
        <f t="shared" si="0"/>
        <v>1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8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8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8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8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8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8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8" t="s">
        <v>77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8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8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8" t="s">
        <v>81</v>
      </c>
      <c r="E37" s="1" t="s">
        <v>81</v>
      </c>
      <c r="F37" s="13" t="b">
        <f t="shared" si="0"/>
        <v>1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8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8" t="s">
        <v>81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8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8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8" t="s">
        <v>79</v>
      </c>
      <c r="E42" s="1" t="s">
        <v>79</v>
      </c>
      <c r="F42" s="13" t="b">
        <f t="shared" si="0"/>
        <v>1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8" t="s">
        <v>77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8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8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8" t="s">
        <v>77</v>
      </c>
      <c r="E46" s="1" t="s">
        <v>77</v>
      </c>
      <c r="F46" s="13" t="b">
        <f t="shared" si="0"/>
        <v>1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8" t="s">
        <v>77</v>
      </c>
      <c r="E47" s="1" t="s">
        <v>77</v>
      </c>
      <c r="F47" s="13" t="b">
        <f t="shared" si="0"/>
        <v>1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8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8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8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8" t="s">
        <v>252</v>
      </c>
      <c r="E51" s="1" t="s">
        <v>79</v>
      </c>
      <c r="F51" s="13" t="b">
        <f t="shared" si="0"/>
        <v>0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8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8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8" t="s">
        <v>77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8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8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8" t="s">
        <v>76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8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8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8" t="s">
        <v>82</v>
      </c>
      <c r="E60" s="1" t="s">
        <v>82</v>
      </c>
      <c r="F60" s="13" t="b">
        <f t="shared" si="0"/>
        <v>1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8" t="s">
        <v>81</v>
      </c>
      <c r="E61" s="1" t="s">
        <v>81</v>
      </c>
      <c r="F61" s="13" t="b">
        <f t="shared" si="0"/>
        <v>1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8" t="s">
        <v>81</v>
      </c>
      <c r="E62" s="1" t="s">
        <v>81</v>
      </c>
      <c r="F62" s="13" t="b">
        <f t="shared" si="0"/>
        <v>1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8" t="s">
        <v>79</v>
      </c>
      <c r="E63" s="1" t="s">
        <v>80</v>
      </c>
      <c r="F63" s="13" t="b">
        <f t="shared" si="0"/>
        <v>0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8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8" t="s">
        <v>80</v>
      </c>
      <c r="E65" s="1" t="s">
        <v>80</v>
      </c>
      <c r="F65" s="13" t="b">
        <f t="shared" si="0"/>
        <v>1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8" t="s">
        <v>77</v>
      </c>
      <c r="E66" s="1" t="s">
        <v>77</v>
      </c>
      <c r="F66" s="13" t="b">
        <f t="shared" si="0"/>
        <v>1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8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8" t="s">
        <v>81</v>
      </c>
      <c r="E68" s="1" t="s">
        <v>81</v>
      </c>
      <c r="F68" s="13" t="b">
        <f t="shared" si="7"/>
        <v>1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8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8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8" t="s">
        <v>77</v>
      </c>
      <c r="E71" s="1" t="s">
        <v>77</v>
      </c>
      <c r="F71" s="13" t="b">
        <f t="shared" si="7"/>
        <v>1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8" t="s">
        <v>77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8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8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8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8" t="s">
        <v>77</v>
      </c>
      <c r="E76" s="1" t="s">
        <v>77</v>
      </c>
      <c r="F76" s="13" t="b">
        <f t="shared" si="7"/>
        <v>1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8" t="s">
        <v>79</v>
      </c>
      <c r="E77" s="1" t="s">
        <v>79</v>
      </c>
      <c r="F77" s="13" t="b">
        <f t="shared" si="7"/>
        <v>1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8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8" t="s">
        <v>82</v>
      </c>
      <c r="E79" s="1" t="s">
        <v>82</v>
      </c>
      <c r="F79" s="13" t="b">
        <f t="shared" si="7"/>
        <v>1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8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8" t="s">
        <v>77</v>
      </c>
      <c r="E81" s="1" t="s">
        <v>77</v>
      </c>
      <c r="F81" s="13" t="b">
        <f t="shared" si="7"/>
        <v>1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8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8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8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8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8" t="s">
        <v>81</v>
      </c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8" t="s">
        <v>77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8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8" t="s">
        <v>77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8" t="s">
        <v>77</v>
      </c>
      <c r="E90" s="1" t="s">
        <v>77</v>
      </c>
      <c r="F90" s="13" t="b">
        <f t="shared" si="7"/>
        <v>1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8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8" t="s">
        <v>77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8" t="s">
        <v>82</v>
      </c>
      <c r="E93" s="1" t="s">
        <v>82</v>
      </c>
      <c r="F93" s="13" t="b">
        <f t="shared" si="7"/>
        <v>1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8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8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8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8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8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8" t="s">
        <v>252</v>
      </c>
      <c r="E99" s="1" t="s">
        <v>252</v>
      </c>
      <c r="F99" s="13" t="b">
        <f t="shared" si="7"/>
        <v>1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8" t="s">
        <v>77</v>
      </c>
      <c r="E100" s="1" t="s">
        <v>77</v>
      </c>
      <c r="F100" s="13" t="b">
        <f t="shared" si="7"/>
        <v>1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8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8" t="s">
        <v>77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8" t="s">
        <v>252</v>
      </c>
      <c r="E103" s="1" t="s">
        <v>252</v>
      </c>
      <c r="F103" s="13" t="b">
        <f t="shared" si="7"/>
        <v>1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8" t="s">
        <v>80</v>
      </c>
      <c r="E104" s="1" t="s">
        <v>80</v>
      </c>
      <c r="F104" s="13" t="b">
        <f t="shared" si="7"/>
        <v>1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8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8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8" t="s">
        <v>77</v>
      </c>
      <c r="E107" s="1" t="s">
        <v>77</v>
      </c>
      <c r="F107" s="13" t="b">
        <f t="shared" si="7"/>
        <v>1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8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8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8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8" t="s">
        <v>77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8" t="s">
        <v>77</v>
      </c>
      <c r="E112" s="1" t="s">
        <v>77</v>
      </c>
      <c r="F112" s="13" t="b">
        <f t="shared" si="7"/>
        <v>1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8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8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8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8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8" t="s">
        <v>77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8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8" t="s">
        <v>252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8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8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8" t="s">
        <v>79</v>
      </c>
      <c r="E122" s="1" t="s">
        <v>79</v>
      </c>
      <c r="F122" s="13" t="b">
        <f t="shared" si="7"/>
        <v>1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8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8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8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8" t="s">
        <v>77</v>
      </c>
      <c r="E126" s="1" t="s">
        <v>77</v>
      </c>
      <c r="F126" s="13" t="b">
        <f t="shared" si="7"/>
        <v>1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8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8" t="s">
        <v>77</v>
      </c>
      <c r="E128" s="1" t="s">
        <v>81</v>
      </c>
      <c r="F128" s="13" t="b">
        <f t="shared" si="7"/>
        <v>0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8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8" t="s">
        <v>79</v>
      </c>
      <c r="E130" s="1" t="s">
        <v>76</v>
      </c>
      <c r="F130" s="13" t="b">
        <f t="shared" si="7"/>
        <v>0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8" t="s">
        <v>79</v>
      </c>
      <c r="E131" s="1" t="s">
        <v>79</v>
      </c>
      <c r="F131" s="13" t="b">
        <f t="shared" ref="F131:F194" si="8">IF(D131=E131, TRUE, FALSE)</f>
        <v>1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8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8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8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8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8" t="s">
        <v>252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8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8" t="s">
        <v>77</v>
      </c>
      <c r="E138" s="1" t="s">
        <v>77</v>
      </c>
      <c r="F138" s="13" t="b">
        <f t="shared" si="8"/>
        <v>1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8" t="s">
        <v>77</v>
      </c>
      <c r="E139" s="1" t="s">
        <v>77</v>
      </c>
      <c r="F139" s="13" t="b">
        <f t="shared" si="8"/>
        <v>1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8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8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8" t="s">
        <v>252</v>
      </c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8" t="s">
        <v>77</v>
      </c>
      <c r="E143" s="1" t="s">
        <v>77</v>
      </c>
      <c r="F143" s="13" t="b">
        <f t="shared" si="8"/>
        <v>1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8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8" t="s">
        <v>80</v>
      </c>
      <c r="E145" s="1" t="s">
        <v>76</v>
      </c>
      <c r="F145" s="13" t="b">
        <f t="shared" si="8"/>
        <v>0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8" t="s">
        <v>80</v>
      </c>
      <c r="E146" s="1" t="s">
        <v>80</v>
      </c>
      <c r="F146" s="13" t="b">
        <f t="shared" si="8"/>
        <v>1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8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8" t="s">
        <v>80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8" t="s">
        <v>81</v>
      </c>
      <c r="E149" s="1" t="s">
        <v>81</v>
      </c>
      <c r="F149" s="13" t="b">
        <f t="shared" si="8"/>
        <v>1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8" t="s">
        <v>82</v>
      </c>
      <c r="E150" s="1" t="s">
        <v>82</v>
      </c>
      <c r="F150" s="13" t="b">
        <f t="shared" si="8"/>
        <v>1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8" t="s">
        <v>80</v>
      </c>
      <c r="E151" s="1" t="s">
        <v>80</v>
      </c>
      <c r="F151" s="13" t="b">
        <f t="shared" si="8"/>
        <v>1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8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8" t="s">
        <v>77</v>
      </c>
      <c r="E153" s="1" t="s">
        <v>77</v>
      </c>
      <c r="F153" s="13" t="b">
        <f t="shared" si="8"/>
        <v>1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8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8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8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8" t="s">
        <v>252</v>
      </c>
      <c r="E157" s="1" t="s">
        <v>252</v>
      </c>
      <c r="F157" s="13" t="b">
        <f t="shared" si="8"/>
        <v>1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8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8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8" t="s">
        <v>77</v>
      </c>
      <c r="E160" s="1" t="s">
        <v>79</v>
      </c>
      <c r="F160" s="13" t="b">
        <f t="shared" si="8"/>
        <v>0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8" t="s">
        <v>77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8" t="s">
        <v>81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8" t="s">
        <v>252</v>
      </c>
      <c r="E163" s="1" t="s">
        <v>252</v>
      </c>
      <c r="F163" s="13" t="b">
        <f t="shared" si="8"/>
        <v>1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8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8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8" t="s">
        <v>77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8" t="s">
        <v>77</v>
      </c>
      <c r="E167" s="1" t="s">
        <v>77</v>
      </c>
      <c r="F167" s="13" t="b">
        <f t="shared" si="8"/>
        <v>1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8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8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8" t="s">
        <v>77</v>
      </c>
      <c r="E170" s="1" t="s">
        <v>77</v>
      </c>
      <c r="F170" s="13" t="b">
        <f t="shared" si="8"/>
        <v>1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8" t="s">
        <v>81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8" t="s">
        <v>77</v>
      </c>
      <c r="E172" s="1" t="s">
        <v>77</v>
      </c>
      <c r="F172" s="13" t="b">
        <f t="shared" si="8"/>
        <v>1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8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8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8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8" t="s">
        <v>77</v>
      </c>
      <c r="E176" s="1" t="s">
        <v>77</v>
      </c>
      <c r="F176" s="13" t="b">
        <f t="shared" si="8"/>
        <v>1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8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8" t="s">
        <v>81</v>
      </c>
      <c r="E178" s="1" t="s">
        <v>81</v>
      </c>
      <c r="F178" s="13" t="b">
        <f t="shared" si="8"/>
        <v>1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8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8" t="s">
        <v>252</v>
      </c>
      <c r="E180" s="1" t="s">
        <v>252</v>
      </c>
      <c r="F180" s="13" t="b">
        <f t="shared" si="8"/>
        <v>1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8" t="s">
        <v>80</v>
      </c>
      <c r="E181" s="1" t="s">
        <v>80</v>
      </c>
      <c r="F181" s="13" t="b">
        <f t="shared" si="8"/>
        <v>1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8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8" t="s">
        <v>252</v>
      </c>
      <c r="E183" s="1" t="s">
        <v>252</v>
      </c>
      <c r="F183" s="13" t="b">
        <f t="shared" si="8"/>
        <v>1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8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8" t="s">
        <v>252</v>
      </c>
      <c r="E185" s="1" t="s">
        <v>252</v>
      </c>
      <c r="F185" s="13" t="b">
        <f t="shared" si="8"/>
        <v>1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8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8" t="s">
        <v>77</v>
      </c>
      <c r="E187" s="1" t="s">
        <v>77</v>
      </c>
      <c r="F187" s="13" t="b">
        <f t="shared" si="8"/>
        <v>1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8" t="s">
        <v>252</v>
      </c>
      <c r="E188" s="1" t="s">
        <v>252</v>
      </c>
      <c r="F188" s="13" t="b">
        <f t="shared" si="8"/>
        <v>1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8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8" t="s">
        <v>77</v>
      </c>
      <c r="E190" s="1" t="s">
        <v>77</v>
      </c>
      <c r="F190" s="13" t="b">
        <f t="shared" si="8"/>
        <v>1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8" t="s">
        <v>252</v>
      </c>
      <c r="E191" s="1" t="s">
        <v>81</v>
      </c>
      <c r="F191" s="13" t="b">
        <f t="shared" si="8"/>
        <v>0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8" t="s">
        <v>81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8" t="s">
        <v>82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8" t="s">
        <v>81</v>
      </c>
      <c r="E194" s="1" t="s">
        <v>81</v>
      </c>
      <c r="F194" s="13" t="b">
        <f t="shared" si="8"/>
        <v>1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8" t="s">
        <v>252</v>
      </c>
      <c r="E195" s="1" t="s">
        <v>252</v>
      </c>
      <c r="F195" s="13" t="b">
        <f t="shared" ref="F195:F211" si="9">IF(D195=E195, TRUE, FALSE)</f>
        <v>1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8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8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8" t="s">
        <v>252</v>
      </c>
      <c r="E198" s="1" t="s">
        <v>252</v>
      </c>
      <c r="F198" s="13" t="b">
        <f t="shared" si="9"/>
        <v>1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8" t="s">
        <v>81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8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8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8" t="s">
        <v>77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8" t="s">
        <v>81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8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8" t="s">
        <v>252</v>
      </c>
      <c r="E205" s="1" t="s">
        <v>81</v>
      </c>
      <c r="F205" s="13" t="b">
        <f t="shared" si="9"/>
        <v>0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8" t="s">
        <v>79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8" t="s">
        <v>252</v>
      </c>
      <c r="E207" s="1" t="s">
        <v>252</v>
      </c>
      <c r="F207" s="13" t="b">
        <f t="shared" si="9"/>
        <v>1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8" t="s">
        <v>252</v>
      </c>
      <c r="E208" s="1" t="s">
        <v>252</v>
      </c>
      <c r="F208" s="13" t="b">
        <f t="shared" si="9"/>
        <v>1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8" t="s">
        <v>80</v>
      </c>
      <c r="E209" s="1" t="s">
        <v>80</v>
      </c>
      <c r="F209" s="13" t="b">
        <f t="shared" si="9"/>
        <v>1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8" t="s">
        <v>76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8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9" t="s">
        <v>237</v>
      </c>
      <c r="J4" s="19"/>
      <c r="K4" s="19"/>
      <c r="L4" s="19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9" t="s">
        <v>247</v>
      </c>
      <c r="J19" s="19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2025-03-07T09:34:27Z</dcterms:created>
  <dcterms:modified xsi:type="dcterms:W3CDTF">2025-04-11T18:18:27Z</dcterms:modified>
</cp:coreProperties>
</file>