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Multi-Label\"/>
    </mc:Choice>
  </mc:AlternateContent>
  <xr:revisionPtr revIDLastSave="0" documentId="13_ncr:1_{B116B0D8-F8E5-48F5-B617-954E19B703E6}" xr6:coauthVersionLast="47" xr6:coauthVersionMax="47" xr10:uidLastSave="{00000000-0000-0000-0000-000000000000}"/>
  <bookViews>
    <workbookView xWindow="11520" yWindow="0" windowWidth="11520" windowHeight="12360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Sheet1" sheetId="13" r:id="rId5"/>
    <sheet name="Trial2" sheetId="2" r:id="rId6"/>
    <sheet name="Sheet2" sheetId="14" r:id="rId7"/>
    <sheet name="Trial3" sheetId="3" r:id="rId8"/>
    <sheet name="Sheet3" sheetId="15" r:id="rId9"/>
    <sheet name="Net" sheetId="4" state="hidden" r:id="rId10"/>
  </sheets>
  <definedNames>
    <definedName name="_xlnm._FilterDatabase" localSheetId="9" hidden="1">Net!$F$1:$F$210</definedName>
    <definedName name="_xlnm._FilterDatabase" localSheetId="3" hidden="1">Trial1!$G$1:$G$71</definedName>
    <definedName name="_xlnm._FilterDatabase" localSheetId="7" hidden="1">Trial3!$G$1:$G$211</definedName>
  </definedNames>
  <calcPr calcId="191029"/>
  <pivotCaches>
    <pivotCache cacheId="6" r:id="rId11"/>
    <pivotCache cacheId="7" r:id="rId12"/>
    <pivotCache cacheId="8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2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" i="3" a="1"/>
  <c r="C2" i="3" s="1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L32" i="4"/>
  <c r="L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L32" i="3"/>
  <c r="L31" i="3"/>
  <c r="L30" i="3"/>
  <c r="L29" i="3"/>
  <c r="L28" i="3"/>
  <c r="L27" i="3"/>
  <c r="L26" i="3"/>
  <c r="L25" i="3"/>
  <c r="L24" i="3"/>
  <c r="L23" i="3"/>
  <c r="L22" i="3"/>
  <c r="L21" i="3"/>
  <c r="L32" i="2"/>
  <c r="L31" i="2"/>
  <c r="L30" i="2"/>
  <c r="L29" i="2"/>
  <c r="L28" i="2"/>
  <c r="L27" i="2"/>
  <c r="L26" i="2"/>
  <c r="L25" i="2"/>
  <c r="L24" i="2"/>
  <c r="L23" i="2"/>
  <c r="L22" i="2"/>
  <c r="L21" i="2"/>
  <c r="L32" i="1"/>
  <c r="L31" i="1"/>
  <c r="L30" i="1"/>
  <c r="L29" i="1"/>
  <c r="K28" i="4"/>
  <c r="L28" i="4" s="1"/>
  <c r="K27" i="4"/>
  <c r="L28" i="1"/>
  <c r="L27" i="1"/>
  <c r="K22" i="4"/>
  <c r="K26" i="4"/>
  <c r="K23" i="4"/>
  <c r="L23" i="4" s="1"/>
  <c r="K24" i="4"/>
  <c r="K25" i="4"/>
  <c r="K21" i="4"/>
  <c r="L21" i="4" s="1"/>
  <c r="L26" i="1"/>
  <c r="L25" i="1"/>
  <c r="L24" i="1"/>
  <c r="L23" i="1"/>
  <c r="L22" i="1"/>
  <c r="L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K6" i="1"/>
  <c r="K7" i="4"/>
  <c r="K8" i="4"/>
  <c r="K9" i="4"/>
  <c r="K11" i="4"/>
  <c r="K12" i="4"/>
  <c r="L7" i="3"/>
  <c r="L8" i="3"/>
  <c r="L9" i="3"/>
  <c r="L11" i="3"/>
  <c r="L12" i="3"/>
  <c r="L6" i="3"/>
  <c r="K12" i="3"/>
  <c r="K7" i="3"/>
  <c r="K8" i="3"/>
  <c r="K9" i="3"/>
  <c r="K10" i="3"/>
  <c r="K11" i="3"/>
  <c r="K6" i="3"/>
  <c r="L7" i="2"/>
  <c r="L8" i="2"/>
  <c r="L9" i="2"/>
  <c r="L10" i="2"/>
  <c r="L11" i="2"/>
  <c r="L12" i="2"/>
  <c r="L6" i="2"/>
  <c r="K7" i="1"/>
  <c r="K8" i="1"/>
  <c r="K9" i="1"/>
  <c r="K10" i="1"/>
  <c r="K11" i="1"/>
  <c r="K12" i="1"/>
  <c r="K7" i="2"/>
  <c r="K8" i="2"/>
  <c r="K9" i="2"/>
  <c r="K10" i="2"/>
  <c r="K11" i="2"/>
  <c r="K12" i="2"/>
  <c r="K6" i="2"/>
  <c r="L7" i="1"/>
  <c r="L8" i="1"/>
  <c r="L9" i="1"/>
  <c r="L10" i="1"/>
  <c r="L11" i="1"/>
  <c r="L12" i="1"/>
  <c r="L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J2" i="1"/>
  <c r="M9" i="2" l="1"/>
  <c r="K2" i="3"/>
  <c r="L2" i="3" s="1"/>
  <c r="L17" i="3"/>
  <c r="K15" i="3"/>
  <c r="K16" i="3"/>
  <c r="K17" i="3"/>
  <c r="L16" i="3"/>
  <c r="K2" i="2"/>
  <c r="L2" i="2" s="1"/>
  <c r="M21" i="2"/>
  <c r="M29" i="2"/>
  <c r="K2" i="1"/>
  <c r="L2" i="1" s="1"/>
  <c r="M7" i="1"/>
  <c r="L15" i="3"/>
  <c r="K16" i="2"/>
  <c r="K15" i="2"/>
  <c r="L17" i="2"/>
  <c r="L16" i="2"/>
  <c r="L15" i="2"/>
  <c r="M15" i="2" s="1"/>
  <c r="K17" i="2"/>
  <c r="K16" i="1"/>
  <c r="L17" i="1"/>
  <c r="K15" i="1"/>
  <c r="L16" i="1"/>
  <c r="L15" i="1"/>
  <c r="K17" i="1"/>
  <c r="M23" i="2"/>
  <c r="M31" i="2"/>
  <c r="M24" i="2"/>
  <c r="M32" i="2"/>
  <c r="M25" i="2"/>
  <c r="M26" i="2"/>
  <c r="M27" i="2"/>
  <c r="M28" i="2"/>
  <c r="M22" i="2"/>
  <c r="M30" i="2"/>
  <c r="M31" i="1"/>
  <c r="M32" i="1"/>
  <c r="M23" i="3"/>
  <c r="M31" i="3"/>
  <c r="M24" i="3"/>
  <c r="M32" i="3"/>
  <c r="M25" i="3"/>
  <c r="M26" i="3"/>
  <c r="M27" i="3"/>
  <c r="M8" i="3"/>
  <c r="M28" i="3"/>
  <c r="M21" i="3"/>
  <c r="M29" i="3"/>
  <c r="M22" i="3"/>
  <c r="M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M12" i="1"/>
  <c r="M23" i="1"/>
  <c r="M29" i="1"/>
  <c r="M27" i="1"/>
  <c r="M30" i="1"/>
  <c r="M26" i="1"/>
  <c r="M28" i="1"/>
  <c r="M21" i="1"/>
  <c r="M22" i="1"/>
  <c r="M9" i="1"/>
  <c r="M6" i="1"/>
  <c r="M10" i="1"/>
  <c r="M8" i="1"/>
  <c r="M24" i="1"/>
  <c r="M25" i="1"/>
  <c r="L9" i="4"/>
  <c r="M7" i="3"/>
  <c r="M7" i="2"/>
  <c r="M11" i="1"/>
  <c r="L12" i="4"/>
  <c r="L6" i="4"/>
  <c r="L10" i="4"/>
  <c r="L11" i="4"/>
  <c r="L8" i="4"/>
  <c r="L7" i="4"/>
  <c r="M6" i="3"/>
  <c r="M12" i="3"/>
  <c r="M9" i="3"/>
  <c r="M10" i="3"/>
  <c r="M11" i="3"/>
  <c r="M6" i="2"/>
  <c r="M10" i="2"/>
  <c r="M11" i="2"/>
  <c r="M12" i="2"/>
  <c r="M8" i="2"/>
  <c r="M15" i="1" l="1"/>
  <c r="M17" i="2"/>
  <c r="M16" i="2"/>
  <c r="M17" i="1"/>
  <c r="M15" i="3"/>
  <c r="M17" i="3"/>
  <c r="M16" i="3"/>
  <c r="L17" i="4"/>
  <c r="M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<sst xmlns="http://schemas.openxmlformats.org/spreadsheetml/2006/main" count="3039" uniqueCount="547">
  <si>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</si>
  <si>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</si>
  <si>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</si>
  <si>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</si>
  <si>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</si>
  <si>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</si>
  <si>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</si>
  <si>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</si>
  <si>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</si>
  <si>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</si>
  <si>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</si>
  <si>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</si>
  <si>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</si>
  <si>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</si>
  <si>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</si>
  <si>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</si>
  <si>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</si>
  <si>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</si>
  <si>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</si>
  <si>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</si>
  <si>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</si>
  <si>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</si>
  <si>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</si>
  <si>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</si>
  <si>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</si>
  <si>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</si>
  <si>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</si>
  <si>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</si>
  <si>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</si>
  <si>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</si>
  <si>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</si>
  <si>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</si>
  <si>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</si>
  <si>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</si>
  <si>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</si>
  <si>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</si>
  <si>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</si>
  <si>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</si>
  <si>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</si>
  <si>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</si>
  <si>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</si>
  <si>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</si>
  <si>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</si>
  <si>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</si>
  <si>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</si>
  <si>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</si>
  <si>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</si>
  <si>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</si>
  <si>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</si>
  <si>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</si>
  <si>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</si>
  <si>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</si>
  <si>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</si>
  <si>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</si>
  <si>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</si>
  <si>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</si>
  <si>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</si>
  <si>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</si>
  <si>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</si>
  <si>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</si>
  <si>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</si>
  <si>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</si>
  <si>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</si>
  <si>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</si>
  <si>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</si>
  <si>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</si>
  <si>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</si>
  <si>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</si>
  <si>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</si>
  <si>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</si>
  <si>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</si>
  <si>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</si>
  <si>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</si>
  <si>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</si>
  <si>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</si>
  <si>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</si>
  <si>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</si>
  <si>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</si>
  <si>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</si>
  <si>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</si>
  <si>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</si>
  <si>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</si>
  <si>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</si>
  <si>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</si>
  <si>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</si>
  <si>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</si>
  <si>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</si>
  <si>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</si>
  <si>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</si>
  <si>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</si>
  <si>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</si>
  <si>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</si>
  <si>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</si>
  <si>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</si>
  <si>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</si>
  <si>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</si>
  <si>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</si>
  <si>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</si>
  <si>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</si>
  <si>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</si>
  <si>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</si>
  <si>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</si>
  <si>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</si>
  <si>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</si>
  <si>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</si>
  <si>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</si>
  <si>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</si>
  <si>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</si>
  <si>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</si>
  <si>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</si>
  <si>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</si>
  <si>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</si>
  <si>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</si>
  <si>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</si>
  <si>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</si>
  <si>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</si>
  <si>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</si>
  <si>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</si>
  <si>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</si>
  <si>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</si>
  <si>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</si>
  <si>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</si>
  <si>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</si>
  <si>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</si>
  <si>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</si>
  <si>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</si>
  <si>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</si>
  <si>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</si>
  <si>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</si>
  <si>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</si>
  <si>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</si>
  <si>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</si>
  <si>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</si>
  <si>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</si>
  <si>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</si>
  <si>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</si>
  <si>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</si>
  <si>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</si>
  <si>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</si>
  <si>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</si>
  <si>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</si>
  <si>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</si>
  <si>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</si>
  <si>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</si>
  <si>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</si>
  <si>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</si>
  <si>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</si>
  <si>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</si>
  <si>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</si>
  <si>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</si>
  <si>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</si>
  <si>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</si>
  <si>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</si>
  <si>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</si>
  <si>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</si>
  <si>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</si>
  <si>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</si>
  <si>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</si>
  <si>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</si>
  <si>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</si>
  <si>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</si>
  <si>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</si>
  <si>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</si>
  <si>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</si>
  <si>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</si>
  <si>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</si>
  <si>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</si>
  <si>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</si>
  <si>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</si>
  <si>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</si>
  <si>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</si>
  <si>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</si>
  <si>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</si>
  <si>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</si>
  <si>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</si>
  <si>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</si>
  <si>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</si>
  <si>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</si>
  <si>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</si>
  <si>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</si>
  <si>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</si>
  <si>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</si>
  <si>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</si>
  <si>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</si>
  <si>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</si>
  <si>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</si>
  <si>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</si>
  <si>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</si>
  <si>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</si>
  <si>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</si>
  <si>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</si>
  <si>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</si>
  <si>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</si>
  <si>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</si>
  <si>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</si>
  <si>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</si>
  <si>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</si>
  <si>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</si>
  <si>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</si>
  <si>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</si>
  <si>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</si>
  <si>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</si>
  <si>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</si>
  <si>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</si>
  <si>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</si>
  <si>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</si>
  <si>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</si>
  <si>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</si>
  <si>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</si>
  <si>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</si>
  <si>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</si>
  <si>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</si>
  <si>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</si>
  <si>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</si>
  <si>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</si>
  <si>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</si>
  <si>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</si>
  <si>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</si>
  <si>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</si>
  <si>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</si>
  <si>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</si>
  <si>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</si>
  <si>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</si>
  <si>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</si>
  <si>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</si>
  <si>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</si>
  <si>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</si>
  <si>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</si>
  <si>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</si>
  <si>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</si>
  <si>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</si>
  <si>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</si>
  <si>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</si>
  <si>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</si>
  <si>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</si>
  <si>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</si>
  <si>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</si>
  <si>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</si>
  <si>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</si>
  <si>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</si>
  <si>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</si>
  <si>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</si>
  <si>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</si>
  <si>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</si>
  <si>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</si>
  <si>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</si>
  <si>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</si>
  <si>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</si>
  <si>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</si>
  <si>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</si>
  <si>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</si>
  <si>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</si>
  <si>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</si>
  <si>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</si>
  <si>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</si>
  <si>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</si>
  <si>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</si>
  <si>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</si>
  <si>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</si>
  <si>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</si>
  <si>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</si>
  <si>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</si>
  <si>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</si>
  <si>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</si>
  <si>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</si>
  <si>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</si>
  <si>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</si>
  <si>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</si>
  <si>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</si>
  <si>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</si>
  <si>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</si>
  <si>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</si>
  <si>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</si>
  <si>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</si>
  <si>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</si>
  <si>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</si>
  <si>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</si>
  <si>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</si>
  <si>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</si>
  <si>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</si>
  <si>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</si>
  <si>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</si>
  <si>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</si>
  <si>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</si>
  <si>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</si>
  <si>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</si>
  <si>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</si>
  <si>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</si>
  <si>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</si>
  <si>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</si>
  <si>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</si>
  <si>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</si>
  <si>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</si>
  <si>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</si>
  <si>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</si>
  <si>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</si>
  <si>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</si>
  <si>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</si>
  <si>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</si>
  <si>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</si>
  <si>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</si>
  <si>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</si>
  <si>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</si>
  <si>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</si>
  <si>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</si>
  <si>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</si>
  <si>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</si>
  <si>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</si>
  <si>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</si>
  <si>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</si>
  <si>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</si>
  <si>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</si>
  <si>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</si>
  <si>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</si>
  <si>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</si>
  <si>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</si>
  <si>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</si>
  <si>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</si>
  <si>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</si>
  <si>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</si>
  <si>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</si>
  <si>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</si>
  <si>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</si>
  <si>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</si>
  <si>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</si>
  <si>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</si>
  <si>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</si>
  <si>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</si>
  <si>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</si>
  <si>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</si>
  <si>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</si>
  <si>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</si>
  <si>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</si>
  <si>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</si>
  <si>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</si>
  <si>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</si>
  <si>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</si>
  <si>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</si>
  <si>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</si>
  <si>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</si>
  <si>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</si>
  <si>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</si>
  <si>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</si>
  <si>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</si>
  <si>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</si>
  <si>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</si>
  <si>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</si>
  <si>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</si>
  <si>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</si>
  <si>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</si>
  <si>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</si>
  <si>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</si>
  <si>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</si>
  <si>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</si>
  <si>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</si>
  <si>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</si>
  <si>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</si>
  <si>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</si>
  <si>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</si>
  <si>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</si>
  <si>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</si>
  <si>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</si>
  <si>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</si>
  <si>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</si>
  <si>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</si>
  <si>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</si>
  <si>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</si>
  <si>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</si>
  <si>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</si>
  <si>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</si>
  <si>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</si>
  <si>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</si>
  <si>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</si>
  <si>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</si>
  <si>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</si>
  <si>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</si>
  <si>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</si>
  <si>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</si>
  <si>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</si>
  <si>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</si>
  <si>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</si>
  <si>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</si>
  <si>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</si>
  <si>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</si>
  <si>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</si>
  <si>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</si>
  <si>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</si>
  <si>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</si>
  <si>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</si>
  <si>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</si>
  <si>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</si>
  <si>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</si>
  <si>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</si>
  <si>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</si>
  <si>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</si>
  <si>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</si>
  <si>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</si>
  <si>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</si>
  <si>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</si>
  <si>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</si>
  <si>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</si>
  <si>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</si>
  <si>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</si>
  <si>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</si>
  <si>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</si>
  <si>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</si>
  <si>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</si>
  <si>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</si>
  <si>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</si>
  <si>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</si>
  <si>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</si>
  <si>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</si>
  <si>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</si>
  <si>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</si>
  <si>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</si>
  <si>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</si>
  <si>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</si>
  <si>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</si>
  <si>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</si>
  <si>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</si>
  <si>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</si>
  <si>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</si>
  <si>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</si>
  <si>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</si>
  <si>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</si>
  <si>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</si>
  <si>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</si>
  <si>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</si>
  <si>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</si>
  <si>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</si>
  <si>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</si>
  <si>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</si>
  <si>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</si>
  <si>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</si>
  <si>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</si>
  <si>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</si>
  <si>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</si>
  <si>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</si>
  <si>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</si>
  <si>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</si>
  <si>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</si>
  <si>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</si>
  <si>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</si>
  <si>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</si>
  <si>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</si>
  <si>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</si>
  <si>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</si>
  <si>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</si>
  <si>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</si>
  <si>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</si>
  <si>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</si>
  <si>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</si>
  <si>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</si>
  <si>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</si>
  <si>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</si>
  <si>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</si>
  <si>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</si>
  <si>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</si>
  <si>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</si>
  <si>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</si>
  <si>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</si>
  <si>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</si>
  <si>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</si>
  <si>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</si>
  <si>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</si>
  <si>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</si>
  <si>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</si>
  <si>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</si>
  <si>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</si>
  <si>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</si>
  <si>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</si>
  <si>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</si>
  <si>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</si>
  <si>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</si>
  <si>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</si>
  <si>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</si>
  <si>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</si>
  <si>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</si>
  <si>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</si>
  <si>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</si>
  <si>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</si>
  <si>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</si>
  <si>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</si>
  <si>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</si>
  <si>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</si>
  <si>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</si>
  <si>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</si>
  <si>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</si>
  <si>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</si>
  <si>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</si>
  <si>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</si>
  <si>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</si>
  <si>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</si>
  <si>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</si>
  <si>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</si>
  <si>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</si>
  <si>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</si>
  <si>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</si>
  <si>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</si>
  <si>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</si>
  <si>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</si>
  <si>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</si>
  <si>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</si>
  <si>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</si>
  <si>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</si>
  <si>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</si>
  <si>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</si>
  <si>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</si>
  <si>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</si>
  <si>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</si>
  <si>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PL2</t>
  </si>
  <si>
    <t>PL1</t>
  </si>
  <si>
    <t>PL3</t>
  </si>
  <si>
    <t>Predicted Label 1</t>
  </si>
  <si>
    <t>Predicted Label 2</t>
  </si>
  <si>
    <t>Predicted Label 3</t>
  </si>
  <si>
    <t>أنا شفت الفيلم اللي نزل الأسبوع اللي فات، جان كلش حلو وبي ضحك بنفس الوقت.</t>
  </si>
  <si>
    <t>يا ناس، حدا بيعرف إيمتى بتخلص الامتحانات؟ خلص زهقنا من الدراسة.</t>
  </si>
  <si>
    <t>يبن عمي، اسمعني دقيقه!</t>
  </si>
  <si>
    <t>حدا بيعرف إيمتى بتخلص الامتحانات؟</t>
  </si>
  <si>
    <t>ما شاء الله، الدار الجديدة كبيرة بزاف وواسعة، الله يبارك ليكم فيها.</t>
  </si>
  <si>
    <t>جنت أحاول أتصل بيك من الصبح.</t>
  </si>
  <si>
    <t>أنا سمعت باللي المطعم الجديد اللي تحل قريب الماكلة ديالو زوينة بزاف، بغينا نجربوه.</t>
  </si>
  <si>
    <t>سيارتكم اليديدة شكلها وايد حلو.</t>
  </si>
  <si>
    <t>أنا عندي موعد مع الطبيب اليوم، خاصني نمشي قبل الموعد بشوية.</t>
  </si>
  <si>
    <t>لك شو عم تساوي？</t>
  </si>
  <si>
    <t>البيت الجديد وايد كبير وواسع.</t>
  </si>
  <si>
    <t>أنا أريد أنزل للسوك اليوم أشتري بعض الأغراض للبيت، محتاجين هواي شغلات.</t>
  </si>
  <si>
    <t>ممكن ناخد لينا أوضة على البحر؟</t>
  </si>
  <si>
    <t>وين با نروح اليوم؟</t>
  </si>
  <si>
    <t>اني أريد أروح للسوك اليوم .</t>
  </si>
  <si>
    <t>الجو اليوم زين بزاف.</t>
  </si>
  <si>
    <t>الجو اليوم فيه غبار شوية، الواحد لازم ينتبه ويغسل وجهه وأيدينه لما يرجع البيت.</t>
  </si>
  <si>
    <t>لك حل عني يزم.</t>
  </si>
  <si>
    <t>يا ولد ليش لهسة ما خلصت واجباتك؟</t>
  </si>
  <si>
    <t>شفت الفيلم اللي نزل السيمانة اللي فاتت؟</t>
  </si>
  <si>
    <t>فين بغينا نمشيو نتعشاو الليلة؟</t>
  </si>
  <si>
    <t>أنا باغي نجرب مطعم جديد سمعت عليه هضرة زوينة في الأيام اللي فاتت.</t>
  </si>
  <si>
    <t>اكو مطعم قريب يبيع دولمة？</t>
  </si>
  <si>
    <t>البيت اللي اشتريناه جديد وحلو كلش وواسع، بيه حديقة جبيرة نكدر نقعد بيها ونستمتع بالجو الحلو بالمساء.</t>
  </si>
  <si>
    <t>الجو اليوم جميل جداً وما يحتاج الواحد يلبس ملابس ثقيلة، الواحد يقدر يتمشى في الكورنيش ويستمتع بالهواء النظيف.</t>
  </si>
  <si>
    <t>لهيجا البيت كبير كتير.</t>
  </si>
  <si>
    <t>مافشي أغراض في البيت. لازم نسير اليمعية.</t>
  </si>
  <si>
    <t>عمبتسأل شو هيدا الي على فاتورتي .</t>
  </si>
  <si>
    <t>لازم نوفر باستهلاك الكهرباء والماي حتى نحافظ على البيئة ونكون مسؤولين تجاه الأجيال الجاية.</t>
  </si>
  <si>
    <t>إنها كذلك بالفعل.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</si>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</sst>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rgb="FFF9FAFB"/>
      <name val="Segoe UI"/>
      <family val="2"/>
    </font>
    <font>
      <sz val="9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2" borderId="0" xfId="0" applyFill="1" applyAlignment="1"/>
    <xf numFmtId="0" fontId="4" fillId="2" borderId="0" xfId="0" applyFont="1" applyFill="1" applyAlignment="1">
      <alignment horizontal="right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DS - Zero.xlsx]T3PT!PivotTable2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DS - ML Zero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13</c:v>
                </c:pt>
                <c:pt idx="1">
                  <c:v>16</c:v>
                </c:pt>
                <c:pt idx="2">
                  <c:v>29</c:v>
                </c:pt>
                <c:pt idx="3">
                  <c:v>29</c:v>
                </c:pt>
                <c:pt idx="4">
                  <c:v>15</c:v>
                </c:pt>
                <c:pt idx="5">
                  <c:v>18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17</c:v>
                </c:pt>
                <c:pt idx="1">
                  <c:v>14</c:v>
                </c:pt>
                <c:pt idx="2">
                  <c:v>1</c:v>
                </c:pt>
                <c:pt idx="3">
                  <c:v>1</c:v>
                </c:pt>
                <c:pt idx="4">
                  <c:v>15</c:v>
                </c:pt>
                <c:pt idx="5">
                  <c:v>12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2-4A30-B13D-EF76D1751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DS - Zero.xlsx]T3PT!PivotTable4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DS - ML Zero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11</c:v>
                </c:pt>
                <c:pt idx="1">
                  <c:v>60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7</c:v>
                </c:pt>
                <c:pt idx="1">
                  <c:v>36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2-40DB-BCD3-28C7DF7F9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DS - Zero.xlsx]T2PT!PivotTable2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DS - ML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15</c:v>
                </c:pt>
                <c:pt idx="1">
                  <c:v>9</c:v>
                </c:pt>
                <c:pt idx="2">
                  <c:v>15</c:v>
                </c:pt>
                <c:pt idx="3">
                  <c:v>20</c:v>
                </c:pt>
                <c:pt idx="4">
                  <c:v>13</c:v>
                </c:pt>
                <c:pt idx="5">
                  <c:v>17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0">
                  <c:v>5</c:v>
                </c:pt>
                <c:pt idx="1">
                  <c:v>11</c:v>
                </c:pt>
                <c:pt idx="2">
                  <c:v>5</c:v>
                </c:pt>
                <c:pt idx="4">
                  <c:v>7</c:v>
                </c:pt>
                <c:pt idx="5">
                  <c:v>3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8-4AD6-985F-C5E937D3C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DS - Zero.xlsx]T2PT!PivotTable4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DS - ML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11</c:v>
                </c:pt>
                <c:pt idx="1">
                  <c:v>38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12</c:v>
                </c:pt>
                <c:pt idx="1">
                  <c:v>13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A-41F3-AE34-F5D8BDE1C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DS - Zero.xlsx]T1PT!PivotTable2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DS - ML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5">
                  <c:v>2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5-49B8-80E8-12CEF13B9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DS - Zero.xlsx]T1PT!PivotTable4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DS - ML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10</c:v>
                </c:pt>
                <c:pt idx="1">
                  <c:v>18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3-4294-BE45-4BBCE6F81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493891</xdr:colOff>
      <xdr:row>18</xdr:row>
      <xdr:rowOff>12105</xdr:rowOff>
    </xdr:from>
    <xdr:to>
      <xdr:col>12</xdr:col>
      <xdr:colOff>864199</xdr:colOff>
      <xdr:row>33</xdr:row>
      <xdr:rowOff>107874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542737</xdr:colOff>
      <xdr:row>17</xdr:row>
      <xdr:rowOff>168413</xdr:rowOff>
    </xdr:from>
    <xdr:to>
      <xdr:col>12</xdr:col>
      <xdr:colOff>913045</xdr:colOff>
      <xdr:row>33</xdr:row>
      <xdr:rowOff>78567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12</xdr:col>
      <xdr:colOff>891849</xdr:colOff>
      <xdr:row>17</xdr:row>
      <xdr:rowOff>164519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530418</xdr:colOff>
      <xdr:row>18</xdr:row>
      <xdr:rowOff>16566</xdr:rowOff>
    </xdr:from>
    <xdr:to>
      <xdr:col>12</xdr:col>
      <xdr:colOff>899027</xdr:colOff>
      <xdr:row>33</xdr:row>
      <xdr:rowOff>163305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4557523145" createdVersion="8" refreshedVersion="8" minRefreshableVersion="3" recordCount="210" xr:uid="{CBB216F7-5641-4015-9744-5FC86E2F037F}">
  <cacheSource type="worksheet">
    <worksheetSource ref="B1:H211" sheet="Trial3"/>
  </cacheSource>
  <cacheFields count="7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L1" numFmtId="0">
      <sharedItems/>
    </cacheField>
    <cacheField name="PL2" numFmtId="0">
      <sharedItems containsBlank="1"/>
    </cacheField>
    <cacheField name="PL3" numFmtId="0">
      <sharedItems containsNonDate="0" containsString="0" containsBlank="1"/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4557870369" createdVersion="8" refreshedVersion="8" minRefreshableVersion="3" recordCount="140" xr:uid="{F31E1A07-7FC0-446D-832A-1D1E366A4A1F}">
  <cacheSource type="worksheet">
    <worksheetSource ref="B1:H141" sheet="Trial2"/>
  </cacheSource>
  <cacheFields count="7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L1" numFmtId="0">
      <sharedItems/>
    </cacheField>
    <cacheField name="PL2" numFmtId="0">
      <sharedItems containsNonDate="0" containsString="0" containsBlank="1"/>
    </cacheField>
    <cacheField name="PL3" numFmtId="0">
      <sharedItems containsNonDate="0" containsString="0" containsBlank="1"/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4558449076" createdVersion="8" refreshedVersion="8" minRefreshableVersion="3" recordCount="70" xr:uid="{9B449EF8-8612-4C6D-AE51-BE1324FDDE0F}">
  <cacheSource type="worksheet">
    <worksheetSource ref="B1:H71" sheet="Trial1"/>
  </cacheSource>
  <cacheFields count="7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L1" numFmtId="0">
      <sharedItems/>
    </cacheField>
    <cacheField name="PL2" numFmtId="0">
      <sharedItems containsNonDate="0" containsString="0" containsBlank="1"/>
    </cacheField>
    <cacheField name="PL3" numFmtId="0">
      <sharedItems containsNonDate="0" containsString="0" containsBlank="1"/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1"/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s v="NILE"/>
    <m/>
    <m/>
    <x v="0"/>
    <x v="0"/>
  </r>
  <r>
    <s v="الملابس الطويلة هي الموضة الآن ."/>
    <x v="1"/>
    <s v="MSA"/>
    <m/>
    <m/>
    <x v="1"/>
    <x v="0"/>
  </r>
  <r>
    <s v="وين الأصانصير؟"/>
    <x v="0"/>
    <s v="IRAQ"/>
    <m/>
    <m/>
    <x v="2"/>
    <x v="1"/>
  </r>
  <r>
    <s v="اكو حد اسكتلندي ؟"/>
    <x v="0"/>
    <s v="IRAQ"/>
    <m/>
    <m/>
    <x v="3"/>
    <x v="0"/>
  </r>
  <r>
    <s v="أشتي شاي عدني."/>
    <x v="0"/>
    <s v="YEM"/>
    <m/>
    <m/>
    <x v="4"/>
    <x v="0"/>
  </r>
  <r>
    <s v="دخيلك في عندك اكبر؟"/>
    <x v="0"/>
    <s v="LEV"/>
    <m/>
    <m/>
    <x v="2"/>
    <x v="0"/>
  </r>
  <r>
    <s v="باش نسافر من اما مطار؟"/>
    <x v="0"/>
    <s v="NA"/>
    <m/>
    <m/>
    <x v="5"/>
    <x v="0"/>
  </r>
  <r>
    <s v="عاوز لي لابتوب جديد ."/>
    <x v="0"/>
    <s v="NILE"/>
    <m/>
    <m/>
    <x v="0"/>
    <x v="0"/>
  </r>
  <r>
    <s v="وين رايح هلأ؟"/>
    <x v="0"/>
    <s v="LEV"/>
    <m/>
    <m/>
    <x v="2"/>
    <x v="0"/>
  </r>
  <r>
    <s v="شكو ماكو؟"/>
    <x v="0"/>
    <s v="IRAQ"/>
    <m/>
    <m/>
    <x v="3"/>
    <x v="0"/>
  </r>
  <r>
    <s v="نحبك بزاف."/>
    <x v="0"/>
    <s v="NA"/>
    <m/>
    <m/>
    <x v="5"/>
    <x v="0"/>
  </r>
  <r>
    <s v="لا توسوس، الأمور طيبة، لا تجلس تفكر كثير."/>
    <x v="1"/>
    <s v="MSA"/>
    <m/>
    <m/>
    <x v="4"/>
    <x v="1"/>
  </r>
  <r>
    <s v="بدي تطولي كمام جاكيت الرياضة هاد."/>
    <x v="1"/>
    <s v="LEV"/>
    <m/>
    <m/>
    <x v="2"/>
    <x v="0"/>
  </r>
  <r>
    <s v="لك شو عم تعمل ؟"/>
    <x v="0"/>
    <s v="LEV"/>
    <m/>
    <m/>
    <x v="2"/>
    <x v="0"/>
  </r>
  <r>
    <s v="كنت ماشي و لقيتك في الشارع مع ناسك."/>
    <x v="1"/>
    <s v="LEV"/>
    <m/>
    <m/>
    <x v="0"/>
    <x v="1"/>
  </r>
  <r>
    <s v="هل اكو اي جوله صباحيي؟"/>
    <x v="0"/>
    <s v="IRAQ"/>
    <m/>
    <m/>
    <x v="3"/>
    <x v="0"/>
  </r>
  <r>
    <s v="أني أريد أروح للسوك اليوم حتى أشتري بعض الأغراض للبيت."/>
    <x v="2"/>
    <s v="YEM"/>
    <m/>
    <m/>
    <x v="3"/>
    <x v="1"/>
  </r>
  <r>
    <s v="يبن عمي، ليش تأخرت؟ قدنا واقف هنا ساعة كأني حارس بوابة."/>
    <x v="2"/>
    <s v="LEV"/>
    <m/>
    <m/>
    <x v="4"/>
    <x v="1"/>
  </r>
  <r>
    <s v="هل لك أن تزكري لي مطعما جيدا ؟"/>
    <x v="1"/>
    <s v="MSA"/>
    <m/>
    <m/>
    <x v="1"/>
    <x v="0"/>
  </r>
  <r>
    <s v="بسرعة قبل ما السوق يسدّ."/>
    <x v="0"/>
    <s v="LEV"/>
    <m/>
    <m/>
    <x v="4"/>
    <x v="1"/>
  </r>
  <r>
    <s v="تعال نشرب لنا كاسة شاهي بالحليب ونسمر شوية."/>
    <x v="1"/>
    <s v="LEV"/>
    <m/>
    <m/>
    <x v="4"/>
    <x v="1"/>
  </r>
  <r>
    <s v=" يا ولد ليش لهسة ما خلصت واجباتك؟"/>
    <x v="1"/>
    <s v="LEV"/>
    <m/>
    <m/>
    <x v="3"/>
    <x v="1"/>
  </r>
  <r>
    <s v="وين بقدر ألائي محل ساعات؟"/>
    <x v="0"/>
    <s v="LEV"/>
    <m/>
    <m/>
    <x v="2"/>
    <x v="0"/>
  </r>
  <r>
    <s v="حي الله عينك، والله ما قصرت."/>
    <x v="1"/>
    <s v="GULF"/>
    <m/>
    <m/>
    <x v="6"/>
    <x v="0"/>
  </r>
  <r>
    <s v="غادي ناخد الرحلة طناش لطوكيو."/>
    <x v="1"/>
    <s v="NA"/>
    <m/>
    <m/>
    <x v="5"/>
    <x v="0"/>
  </r>
  <r>
    <s v="أنا كنت كانفكر نمشي لشي رحلة قصيرة نهاية السيمانة الجاية."/>
    <x v="2"/>
    <s v="NA"/>
    <m/>
    <m/>
    <x v="5"/>
    <x v="0"/>
  </r>
  <r>
    <s v="عندك بطاريات للكاميرا دي؟"/>
    <x v="0"/>
    <s v="NILE"/>
    <m/>
    <m/>
    <x v="0"/>
    <x v="0"/>
  </r>
  <r>
    <s v="بمجرد النظر إليها تبدو وكأنك قد التقطت بعض العدوى منها ."/>
    <x v="2"/>
    <s v="MSA"/>
    <m/>
    <m/>
    <x v="1"/>
    <x v="0"/>
  </r>
  <r>
    <s v="ما كان يجب أن يكون كثيراً هكذا ."/>
    <x v="1"/>
    <s v="MSA"/>
    <m/>
    <m/>
    <x v="1"/>
    <x v="0"/>
  </r>
  <r>
    <s v="لذلك ارغب في استبدالها ؟"/>
    <x v="0"/>
    <s v="MSA"/>
    <m/>
    <m/>
    <x v="1"/>
    <x v="0"/>
  </r>
  <r>
    <s v="أجري يا زول ."/>
    <x v="0"/>
    <s v="YEM"/>
    <m/>
    <m/>
    <x v="0"/>
    <x v="1"/>
  </r>
  <r>
    <s v="لو سمحت، احكيلي عن شوية شوارع كويسة للتسوق."/>
    <x v="1"/>
    <s v="LEV"/>
    <m/>
    <m/>
    <x v="2"/>
    <x v="0"/>
  </r>
  <r>
    <s v="أنا با أريد أخلص الشغل بسرعة."/>
    <x v="1"/>
    <s v="YEM"/>
    <m/>
    <m/>
    <x v="4"/>
    <x v="0"/>
  </r>
  <r>
    <s v="شفت الفيلم اللي نزل السيمانة اللي فاتت؟ "/>
    <x v="1"/>
    <s v="LEV"/>
    <m/>
    <m/>
    <x v="5"/>
    <x v="1"/>
  </r>
  <r>
    <s v="مالك في إيه يا عم ؟"/>
    <x v="0"/>
    <s v="NILE"/>
    <m/>
    <m/>
    <x v="0"/>
    <x v="0"/>
  </r>
  <r>
    <s v="على الساحل الشرقي، حتلاقي كمان أماكن مشهورة، زي نيويورك، وواشنطن دي سي وبوسطن."/>
    <x v="2"/>
    <s v="NILE"/>
    <m/>
    <m/>
    <x v="0"/>
    <x v="0"/>
  </r>
  <r>
    <s v="أمشي جيب حاجات من الدكان عليك الله."/>
    <x v="1"/>
    <s v="LEV"/>
    <m/>
    <m/>
    <x v="0"/>
    <x v="1"/>
  </r>
  <r>
    <s v="ممكن احصل مخابرة تكعدني بالخمسة ونص باجر الصبح؟"/>
    <x v="1"/>
    <s v="LEV"/>
    <m/>
    <m/>
    <x v="3"/>
    <x v="1"/>
  </r>
  <r>
    <s v=" فين بغينا نمشيو نتعشاو الليلة؟"/>
    <x v="1"/>
    <s v="NA"/>
    <m/>
    <m/>
    <x v="5"/>
    <x v="0"/>
  </r>
  <r>
    <s v=" أنا باغي نجرب مطعم جديد سمعت عليه هضرة زوينة في الأيام اللي فاتت."/>
    <x v="2"/>
    <s v="NA"/>
    <m/>
    <m/>
    <x v="5"/>
    <x v="0"/>
  </r>
  <r>
    <s v="روحي دغري و بروم عالشمال هونيك."/>
    <x v="1"/>
    <s v="LEV"/>
    <m/>
    <m/>
    <x v="2"/>
    <x v="0"/>
  </r>
  <r>
    <s v="ممكن تساعديني في ترتيب الأغراض في الدولاب؟ أنا ما عندي وقت اليوم وبا أريد أخلص الشغل بسرعة."/>
    <x v="2"/>
    <s v="LEV"/>
    <s v="YEM"/>
    <m/>
    <x v="4"/>
    <x v="0"/>
  </r>
  <r>
    <s v="راني حاب حقيبة ماكياج."/>
    <x v="0"/>
    <s v="NA"/>
    <m/>
    <m/>
    <x v="5"/>
    <x v="0"/>
  </r>
  <r>
    <s v="القات اليوم حلو، تعال نتمضغ."/>
    <x v="1"/>
    <s v="YEM"/>
    <m/>
    <m/>
    <x v="5"/>
    <x v="1"/>
  </r>
  <r>
    <s v="تروم تساعدني؟"/>
    <x v="0"/>
    <s v="GULF"/>
    <m/>
    <m/>
    <x v="6"/>
    <x v="0"/>
  </r>
  <r>
    <s v="ما عندي وقت والله السموحة."/>
    <x v="1"/>
    <s v="LEV"/>
    <m/>
    <m/>
    <x v="6"/>
    <x v="1"/>
  </r>
  <r>
    <s v="عاوز قهوة يسطا؟"/>
    <x v="0"/>
    <s v="NILE"/>
    <m/>
    <m/>
    <x v="0"/>
    <x v="0"/>
  </r>
  <r>
    <s v="هل يمكن أن أترك هذه العربة خارج الردهة ؟"/>
    <x v="1"/>
    <s v="MSA"/>
    <m/>
    <m/>
    <x v="1"/>
    <x v="0"/>
  </r>
  <r>
    <s v="لقد كانت المزارات في اليونان تاريخية ."/>
    <x v="1"/>
    <s v="MSA"/>
    <m/>
    <m/>
    <x v="1"/>
    <x v="0"/>
  </r>
  <r>
    <s v="بعد إزنك، من وين بروحو عأكاساكا؟"/>
    <x v="1"/>
    <s v="LEV"/>
    <m/>
    <m/>
    <x v="2"/>
    <x v="0"/>
  </r>
  <r>
    <s v="اكو مطعم  قريب يبيع دولمة؟"/>
    <x v="1"/>
    <s v="IRAQ"/>
    <m/>
    <m/>
    <x v="3"/>
    <x v="0"/>
  </r>
  <r>
    <s v="بس كنت ابغي أأكد ان رئيس مجلس الإدارة لشركتكم بيحضر الاجتماع بكرة."/>
    <x v="2"/>
    <s v="GULF"/>
    <m/>
    <m/>
    <x v="6"/>
    <x v="0"/>
  </r>
  <r>
    <s v="أنا با أريد نجرب مطعم جديد سمعت عنه."/>
    <x v="1"/>
    <s v="YEM"/>
    <m/>
    <m/>
    <x v="4"/>
    <x v="0"/>
  </r>
  <r>
    <s v=" البيت اللي اشتريناه جديد وحلو كلش وواسع، بيه حديقة جبيرة نكدر نقعد بيها ونستمتع بالجو الحلو بالمساء."/>
    <x v="2"/>
    <s v="IRAQ"/>
    <m/>
    <m/>
    <x v="3"/>
    <x v="0"/>
  </r>
  <r>
    <s v="كيف بدك البيض؟"/>
    <x v="0"/>
    <s v="LEV"/>
    <m/>
    <m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s v="NILE"/>
    <m/>
    <m/>
    <x v="4"/>
    <x v="1"/>
  </r>
  <r>
    <s v="إنت المفروض تجيب كل الحاجات من السوبر ماركت. لو ماقدرتش، متقلقش. أنا هاروح الصيدلية بكرة."/>
    <x v="2"/>
    <s v="NILE"/>
    <m/>
    <m/>
    <x v="0"/>
    <x v="0"/>
  </r>
  <r>
    <s v="هل يمكنك أن تقوم بضبطها الآن ؟"/>
    <x v="1"/>
    <s v="MSA"/>
    <m/>
    <m/>
    <x v="1"/>
    <x v="0"/>
  </r>
  <r>
    <s v="أشتي كبسة باللحم، إذا ممكن"/>
    <x v="1"/>
    <s v="YEM"/>
    <m/>
    <m/>
    <x v="4"/>
    <x v="0"/>
  </r>
  <r>
    <s v="انت عارف، ماعندناش النوع ده من التاكسيات في اليابان ."/>
    <x v="2"/>
    <s v="NILE"/>
    <m/>
    <m/>
    <x v="0"/>
    <x v="0"/>
  </r>
  <r>
    <s v="بطني واجعاني شديد."/>
    <x v="0"/>
    <s v="YEM"/>
    <m/>
    <m/>
    <x v="0"/>
    <x v="1"/>
  </r>
  <r>
    <s v="اطيق احجز اجر-سيارة هوني؟"/>
    <x v="0"/>
    <s v="LEV"/>
    <m/>
    <m/>
    <x v="3"/>
    <x v="1"/>
  </r>
  <r>
    <s v="شنو نوع الجوتي مالك؟"/>
    <x v="0"/>
    <s v="IRAQ"/>
    <m/>
    <m/>
    <x v="6"/>
    <x v="1"/>
  </r>
  <r>
    <s v="الجو بره حلو هواي اليوم."/>
    <x v="0"/>
    <s v="IRAQ"/>
    <m/>
    <m/>
    <x v="3"/>
    <x v="0"/>
  </r>
  <r>
    <s v="ارحب يبو مسعد؟"/>
    <x v="0"/>
    <s v="LEV"/>
    <m/>
    <m/>
    <x v="6"/>
    <x v="1"/>
  </r>
  <r>
    <s v="وين يا رجال , وش صار عليك؟"/>
    <x v="1"/>
    <s v="GULF"/>
    <m/>
    <m/>
    <x v="6"/>
    <x v="0"/>
  </r>
  <r>
    <s v="باخي والله وجع شديد"/>
    <x v="0"/>
    <s v="YEM"/>
    <m/>
    <m/>
    <x v="0"/>
    <x v="1"/>
  </r>
  <r>
    <s v="ازاي أرجع؟"/>
    <x v="0"/>
    <s v="NILE"/>
    <m/>
    <m/>
    <x v="0"/>
    <x v="0"/>
  </r>
  <r>
    <s v="غدا غنمشيو للبحر نتفسخو و نتبسطو"/>
    <x v="1"/>
    <s v="NA"/>
    <m/>
    <m/>
    <x v="5"/>
    <x v="0"/>
  </r>
  <r>
    <s v="ما اقدر اشوف الشاشة من هني. أروم اغير مقعدي ؟"/>
    <x v="1"/>
    <s v="GULF"/>
    <m/>
    <m/>
    <x v="6"/>
    <x v="0"/>
  </r>
  <r>
    <s v="أنا تعبان شوية, با أرتاح في البيت."/>
    <x v="1"/>
    <s v="YEM"/>
    <m/>
    <m/>
    <x v="4"/>
    <x v="0"/>
  </r>
  <r>
    <s v="صاحبي مريض برشا. تنجم تكلم طبيب، يعيشك؟"/>
    <x v="1"/>
    <s v="NA"/>
    <m/>
    <m/>
    <x v="5"/>
    <x v="0"/>
  </r>
  <r>
    <s v="بدي شوية مقانق، عمول معروف ."/>
    <x v="1"/>
    <s v="LEV"/>
    <m/>
    <m/>
    <x v="2"/>
    <x v="0"/>
  </r>
  <r>
    <s v="لك حل عني يا زلمة"/>
    <x v="0"/>
    <s v="LEV"/>
    <m/>
    <m/>
    <x v="2"/>
    <x v="0"/>
  </r>
  <r>
    <s v="أبا عطر لو ما عليك أمر."/>
    <x v="0"/>
    <s v="YEM"/>
    <m/>
    <m/>
    <x v="6"/>
    <x v="1"/>
  </r>
  <r>
    <s v="رح أوصل حوالي الساعة تسعة المسا."/>
    <x v="1"/>
    <s v="LEV"/>
    <m/>
    <m/>
    <x v="2"/>
    <x v="0"/>
  </r>
  <r>
    <s v="واش هاد القطار كايتوقف فبالتيمور؟"/>
    <x v="1"/>
    <s v="NA"/>
    <m/>
    <m/>
    <x v="5"/>
    <x v="0"/>
  </r>
  <r>
    <s v="اشتي شاي عدني."/>
    <x v="0"/>
    <s v="YEM"/>
    <m/>
    <m/>
    <x v="4"/>
    <x v="0"/>
  </r>
  <r>
    <s v="عايزه لي شبشب كويس و كعب عالي عليك الله."/>
    <x v="1"/>
    <s v="NILE"/>
    <m/>
    <m/>
    <x v="0"/>
    <x v="0"/>
  </r>
  <r>
    <s v="يا حبيبي دزها بس."/>
    <x v="0"/>
    <s v="IRAQ"/>
    <m/>
    <m/>
    <x v="6"/>
    <x v="1"/>
  </r>
  <r>
    <s v="اصعد السلم ثم اتجه يميناً . إنه على يسارك ."/>
    <x v="1"/>
    <s v="MSA"/>
    <m/>
    <m/>
    <x v="1"/>
    <x v="0"/>
  </r>
  <r>
    <s v="فقط إذا كانت ملكك ، سيدي . هاها ، مزحة صغيرة ."/>
    <x v="1"/>
    <s v="MSA"/>
    <m/>
    <m/>
    <x v="1"/>
    <x v="0"/>
  </r>
  <r>
    <s v="مستحيل الكلام ده يا فندم ."/>
    <x v="1"/>
    <s v="NILE"/>
    <m/>
    <m/>
    <x v="0"/>
    <x v="0"/>
  </r>
  <r>
    <s v="ماذا عن القمة ؟ هل انقص بعضاً من القمة ؟"/>
    <x v="1"/>
    <s v="MSA"/>
    <m/>
    <m/>
    <x v="1"/>
    <x v="0"/>
  </r>
  <r>
    <s v="فين مفتاح الطوموبيل؟"/>
    <x v="0"/>
    <s v="LEV"/>
    <m/>
    <m/>
    <x v="5"/>
    <x v="1"/>
  </r>
  <r>
    <s v="تؤبرني"/>
    <x v="0"/>
    <s v="LEV"/>
    <m/>
    <m/>
    <x v="2"/>
    <x v="0"/>
  </r>
  <r>
    <s v="أنا أحب أطبخ, إيش تبغى أطبخ لك اليوم؟"/>
    <x v="1"/>
    <s v="GULF"/>
    <m/>
    <m/>
    <x v="4"/>
    <x v="1"/>
  </r>
  <r>
    <s v="أنا با أريد أسافر في الصيف."/>
    <x v="1"/>
    <s v="YEM"/>
    <m/>
    <m/>
    <x v="4"/>
    <x v="0"/>
  </r>
  <r>
    <s v="شي بيبسي زيرو؟ مسوي دايت أنا"/>
    <x v="1"/>
    <s v="GULF"/>
    <m/>
    <m/>
    <x v="6"/>
    <x v="0"/>
  </r>
  <r>
    <s v="اليوم كان يوم طويل، ولكن الحمد لله خلصت كل الأعمال."/>
    <x v="2"/>
    <s v="MSA"/>
    <m/>
    <m/>
    <x v="4"/>
    <x v="1"/>
  </r>
  <r>
    <s v="لو سمحت ألغي رقم البطاقه حقي."/>
    <x v="1"/>
    <s v="GULF"/>
    <m/>
    <m/>
    <x v="4"/>
    <x v="1"/>
  </r>
  <r>
    <s v="اشتي قهوة."/>
    <x v="0"/>
    <s v="YEM"/>
    <m/>
    <m/>
    <x v="4"/>
    <x v="0"/>
  </r>
  <r>
    <s v="أنا ما عنديش فلوس بزاف دابا."/>
    <x v="1"/>
    <s v="NA"/>
    <m/>
    <m/>
    <x v="5"/>
    <x v="0"/>
  </r>
  <r>
    <s v="هل اكو مطعم قريب هوني؟"/>
    <x v="0"/>
    <s v="IRAQ"/>
    <m/>
    <m/>
    <x v="3"/>
    <x v="0"/>
  </r>
  <r>
    <s v="لهيجا البيت كبير كتير. "/>
    <x v="0"/>
    <s v="LEV"/>
    <m/>
    <m/>
    <x v="2"/>
    <x v="0"/>
  </r>
  <r>
    <s v="وش تبي مني ؟"/>
    <x v="0"/>
    <s v="GULF"/>
    <m/>
    <m/>
    <x v="6"/>
    <x v="0"/>
  </r>
  <r>
    <s v="هسه شنو تريد تاكل على الغده؟"/>
    <x v="1"/>
    <s v="IRAQ"/>
    <m/>
    <m/>
    <x v="3"/>
    <x v="0"/>
  </r>
  <r>
    <s v="خلينا نمشيو نزورو عائلتي اليوم العشية."/>
    <x v="1"/>
    <s v="LEV"/>
    <m/>
    <m/>
    <x v="5"/>
    <x v="1"/>
  </r>
  <r>
    <s v="عادي تطرشلي الصورة بعدين؟"/>
    <x v="0"/>
    <s v="LEV"/>
    <m/>
    <m/>
    <x v="6"/>
    <x v="1"/>
  </r>
  <r>
    <s v="ما عندي فلوس هواي هسه."/>
    <x v="0"/>
    <s v="IRAQ"/>
    <m/>
    <m/>
    <x v="3"/>
    <x v="0"/>
  </r>
  <r>
    <s v="ممكن تحولي اياهم لدولارات، لو سمحت؟"/>
    <x v="1"/>
    <s v="LEV"/>
    <m/>
    <m/>
    <x v="2"/>
    <x v="0"/>
  </r>
  <r>
    <s v="علاش أنت زعفان اليوم؟"/>
    <x v="0"/>
    <s v="LEV"/>
    <m/>
    <m/>
    <x v="5"/>
    <x v="1"/>
  </r>
  <r>
    <s v="اشنو الاختلاف بين هذولي الفنادق؟"/>
    <x v="1"/>
    <s v="GULF"/>
    <m/>
    <m/>
    <x v="3"/>
    <x v="1"/>
  </r>
  <r>
    <s v="الشي الجنت ادور عليه."/>
    <x v="0"/>
    <s v="LEV"/>
    <m/>
    <m/>
    <x v="3"/>
    <x v="1"/>
  </r>
  <r>
    <s v="ما بيصير تحكي هالحكي قدام الناس."/>
    <x v="1"/>
    <s v="LEV"/>
    <m/>
    <m/>
    <x v="2"/>
    <x v="0"/>
  </r>
  <r>
    <s v="يصير ادفع بجيكات سياحية؟"/>
    <x v="0"/>
    <s v="LEV"/>
    <m/>
    <m/>
    <x v="6"/>
    <x v="1"/>
  </r>
  <r>
    <s v="اي، بعض الغرف تطل على الحديقة، بس وايد غالية."/>
    <x v="1"/>
    <s v="GULF"/>
    <m/>
    <m/>
    <x v="6"/>
    <x v="0"/>
  </r>
  <r>
    <s v="اريد كتاب تلوين."/>
    <x v="0"/>
    <s v="MSA"/>
    <m/>
    <m/>
    <x v="3"/>
    <x v="1"/>
  </r>
  <r>
    <s v="ما يمكنش تهضر بهاد الطريقة مع الناس, خاصك تحترمهم."/>
    <x v="1"/>
    <s v="NA"/>
    <m/>
    <m/>
    <x v="5"/>
    <x v="0"/>
  </r>
  <r>
    <s v="با أريد شاهي كرك من دبي."/>
    <x v="0"/>
    <s v="YEM"/>
    <m/>
    <m/>
    <x v="4"/>
    <x v="0"/>
  </r>
  <r>
    <s v="مشكور ما قصرت. انا وسيد كوقوري مستانسين ان جينا لندن عشان نجتمع معاك وانت واحد من أهم شركائنا."/>
    <x v="2"/>
    <s v="GULF"/>
    <m/>
    <m/>
    <x v="6"/>
    <x v="0"/>
  </r>
  <r>
    <s v="ايوه، كل اللي انت محتاجله شامبو و سيشوار ."/>
    <x v="1"/>
    <s v="NILE"/>
    <m/>
    <m/>
    <x v="0"/>
    <x v="0"/>
  </r>
  <r>
    <s v="عليك أن تحجز مقدما ."/>
    <x v="0"/>
    <s v="MSA"/>
    <m/>
    <m/>
    <x v="1"/>
    <x v="0"/>
  </r>
  <r>
    <s v="أنا مرضان.بدي أرتاح."/>
    <x v="0"/>
    <s v="LEV"/>
    <m/>
    <m/>
    <x v="2"/>
    <x v="0"/>
  </r>
  <r>
    <s v="ماعنديش موعد، بلحاق الحالة مستعجلة."/>
    <x v="1"/>
    <s v="NILE"/>
    <m/>
    <m/>
    <x v="5"/>
    <x v="1"/>
  </r>
  <r>
    <s v="اكيد، اخذ وقتج."/>
    <x v="0"/>
    <s v="GULF"/>
    <m/>
    <m/>
    <x v="3"/>
    <x v="1"/>
  </r>
  <r>
    <s v="مسامحة بس في غلط في الفاتورة."/>
    <x v="1"/>
    <s v="LEV"/>
    <m/>
    <m/>
    <x v="6"/>
    <x v="1"/>
  </r>
  <r>
    <s v="السوق اليوم زحمة، لازم ندحس عشان ندخل."/>
    <x v="1"/>
    <s v="LEV"/>
    <m/>
    <m/>
    <x v="4"/>
    <x v="1"/>
  </r>
  <r>
    <s v="ناس قليلين اللي هايكونوا في الجولة الاختياري."/>
    <x v="1"/>
    <s v="LEV"/>
    <m/>
    <m/>
    <x v="0"/>
    <x v="1"/>
  </r>
  <r>
    <s v="اكدر احصلها مشروحة اكثر بالتفاصيل؟"/>
    <x v="1"/>
    <s v="IRAQ"/>
    <m/>
    <m/>
    <x v="3"/>
    <x v="0"/>
  </r>
  <r>
    <s v="كلموه بركي يقتنع."/>
    <x v="0"/>
    <s v="LEV"/>
    <m/>
    <m/>
    <x v="2"/>
    <x v="0"/>
  </r>
  <r>
    <s v="كيف نستخدم هذا ؟"/>
    <x v="0"/>
    <s v="MSA"/>
    <m/>
    <m/>
    <x v="1"/>
    <x v="0"/>
  </r>
  <r>
    <s v="لك شو مهضوم انته"/>
    <x v="0"/>
    <s v="LEV"/>
    <m/>
    <m/>
    <x v="2"/>
    <x v="0"/>
  </r>
  <r>
    <s v="حط الشاي هانا، جنب القات."/>
    <x v="0"/>
    <s v="YEM"/>
    <m/>
    <m/>
    <x v="4"/>
    <x v="0"/>
  </r>
  <r>
    <s v="أبا ألعب بادل."/>
    <x v="0"/>
    <s v="YEM"/>
    <m/>
    <m/>
    <x v="6"/>
    <x v="1"/>
  </r>
  <r>
    <s v="اكدر اكل وجبتي بعدين؟ احس نفسي متخربط هسه."/>
    <x v="1"/>
    <s v="IRAQ"/>
    <m/>
    <m/>
    <x v="3"/>
    <x v="0"/>
  </r>
  <r>
    <s v="عادي أدقع كاش ولا عايز ببطاقة؟"/>
    <x v="1"/>
    <s v="LEV"/>
    <m/>
    <m/>
    <x v="0"/>
    <x v="1"/>
  </r>
  <r>
    <s v="أيمكنني أن أبقى ثلاث ليالٍ ؟"/>
    <x v="1"/>
    <s v="MSA"/>
    <m/>
    <m/>
    <x v="1"/>
    <x v="0"/>
  </r>
  <r>
    <s v="نعم ، بإمكانك . هون عليك ."/>
    <x v="1"/>
    <s v="LEV"/>
    <m/>
    <m/>
    <x v="1"/>
    <x v="1"/>
  </r>
  <r>
    <s v="بتقدر تبدل كرسيك معي، لو سمحت؟"/>
    <x v="1"/>
    <s v="LEV"/>
    <m/>
    <m/>
    <x v="2"/>
    <x v="0"/>
  </r>
  <r>
    <s v="عاوزين أوضة على البحر يسطا."/>
    <x v="1"/>
    <s v="NILE"/>
    <m/>
    <m/>
    <x v="0"/>
    <x v="0"/>
  </r>
  <r>
    <s v="هاي الغرفة كولش صغيره."/>
    <x v="0"/>
    <s v="IRAQ"/>
    <m/>
    <m/>
    <x v="3"/>
    <x v="0"/>
  </r>
  <r>
    <s v="هاد الكتاب مفيد بزاف."/>
    <x v="0"/>
    <s v="NA"/>
    <m/>
    <m/>
    <x v="5"/>
    <x v="0"/>
  </r>
  <r>
    <s v="هل يمكنني أن أكل كل حبة الفاكهة هذه ؟"/>
    <x v="1"/>
    <s v="MSA"/>
    <m/>
    <m/>
    <x v="1"/>
    <x v="0"/>
  </r>
  <r>
    <s v="مافشي أغراض  في البيت. لازم نسير اليمعية."/>
    <x v="1"/>
    <s v="NA"/>
    <m/>
    <m/>
    <x v="6"/>
    <x v="1"/>
  </r>
  <r>
    <s v="أتوبيس؟ أفتكر أنت تقصد ليموزين يوصلك الفندق. أنت رايح أنهى فندق؟"/>
    <x v="2"/>
    <s v="NILE"/>
    <m/>
    <m/>
    <x v="0"/>
    <x v="0"/>
  </r>
  <r>
    <s v="يا شيخ لا تسولف بالله."/>
    <x v="0"/>
    <s v="GULF"/>
    <m/>
    <m/>
    <x v="6"/>
    <x v="0"/>
  </r>
  <r>
    <s v="أبا مجبوس دياي اليوم."/>
    <x v="0"/>
    <s v="YEM"/>
    <m/>
    <m/>
    <x v="6"/>
    <x v="1"/>
  </r>
  <r>
    <s v="اكو جمعية قريبة؟"/>
    <x v="0"/>
    <s v="IRAQ"/>
    <m/>
    <m/>
    <x v="3"/>
    <x v="0"/>
  </r>
  <r>
    <s v="لا تطلع فيا هيك!"/>
    <x v="0"/>
    <s v="LEV"/>
    <m/>
    <m/>
    <x v="2"/>
    <x v="0"/>
  </r>
  <r>
    <s v="ما عندي مصاري."/>
    <x v="0"/>
    <s v="LEV"/>
    <m/>
    <m/>
    <x v="2"/>
    <x v="0"/>
  </r>
  <r>
    <s v="اليهال منتظرينك برع."/>
    <x v="0"/>
    <s v="LEV"/>
    <m/>
    <m/>
    <x v="6"/>
    <x v="1"/>
  </r>
  <r>
    <s v="لا تقول هالكلام جدامي."/>
    <x v="0"/>
    <s v="LEV"/>
    <m/>
    <m/>
    <x v="6"/>
    <x v="1"/>
  </r>
  <r>
    <s v="كلا . إني ياباني ."/>
    <x v="0"/>
    <s v="MSA"/>
    <m/>
    <m/>
    <x v="1"/>
    <x v="0"/>
  </r>
  <r>
    <s v="ما أشرب قهوة أني يا الغالي."/>
    <x v="1"/>
    <s v="GULF"/>
    <m/>
    <m/>
    <x v="3"/>
    <x v="1"/>
  </r>
  <r>
    <s v="هل هذا هو كل شيء متضمن في الفاتورة ؟"/>
    <x v="1"/>
    <s v="MSA"/>
    <m/>
    <m/>
    <x v="1"/>
    <x v="0"/>
  </r>
  <r>
    <s v="تركت شنطتي بشي مطرح."/>
    <x v="0"/>
    <s v="LEV"/>
    <m/>
    <m/>
    <x v="2"/>
    <x v="0"/>
  </r>
  <r>
    <s v="طوالي عليك الله."/>
    <x v="0"/>
    <s v="LEV"/>
    <m/>
    <m/>
    <x v="0"/>
    <x v="1"/>
  </r>
  <r>
    <s v="اشتي العب تنس."/>
    <x v="0"/>
    <s v="YEM"/>
    <m/>
    <m/>
    <x v="4"/>
    <x v="0"/>
  </r>
  <r>
    <s v="زين. هسه حجزك تاكد."/>
    <x v="0"/>
    <s v="IRAQ"/>
    <m/>
    <m/>
    <x v="3"/>
    <x v="0"/>
  </r>
  <r>
    <s v="في واحد خبط فيا. وبعديها ملقتش محفظتي."/>
    <x v="1"/>
    <s v="LEV"/>
    <m/>
    <m/>
    <x v="0"/>
    <x v="1"/>
  </r>
  <r>
    <s v="بغيت شاهي مع ليمون، لو سمحت."/>
    <x v="1"/>
    <s v="NA"/>
    <m/>
    <m/>
    <x v="6"/>
    <x v="1"/>
  </r>
  <r>
    <s v="من فضلك غادر الفندق قبل التاسعة ."/>
    <x v="1"/>
    <s v="MSA"/>
    <m/>
    <m/>
    <x v="1"/>
    <x v="0"/>
  </r>
  <r>
    <s v="عمبتسأل  شو هيدا الي على فاتورتي ."/>
    <x v="1"/>
    <s v="LEV"/>
    <m/>
    <m/>
    <x v="2"/>
    <x v="0"/>
  </r>
  <r>
    <s v=" لازم نوفر باستهلاك الكهرباء والماي حتى نحافظ على البيئة ونكون مسؤولين تجاه الأجيال الجاية."/>
    <x v="2"/>
    <s v="MSA"/>
    <m/>
    <m/>
    <x v="3"/>
    <x v="1"/>
  </r>
  <r>
    <s v="ضيعت باسبوري، نحب واحد جديد."/>
    <x v="1"/>
    <s v="LEV"/>
    <m/>
    <m/>
    <x v="5"/>
    <x v="1"/>
  </r>
  <r>
    <s v="اشعر بالتعب الشديد . من فضلك استدع طبيباً ."/>
    <x v="1"/>
    <s v="MSA"/>
    <m/>
    <m/>
    <x v="1"/>
    <x v="0"/>
  </r>
  <r>
    <s v="نعم، سيد تانكا. اكو رسالتين الك."/>
    <x v="1"/>
    <s v="IRAQ"/>
    <m/>
    <m/>
    <x v="3"/>
    <x v="0"/>
  </r>
  <r>
    <s v="بأثر شي اذا دقيتلك بعدين؟"/>
    <x v="0"/>
    <s v="LEV"/>
    <m/>
    <m/>
    <x v="2"/>
    <x v="0"/>
  </r>
  <r>
    <s v="ممكن ترسل تاكسي للمدخل الرئيسي حق ويستمينستر مول؟"/>
    <x v="1"/>
    <s v="GULF"/>
    <m/>
    <m/>
    <x v="4"/>
    <x v="1"/>
  </r>
  <r>
    <s v="شكرا يبن عمي عل الخدمة."/>
    <x v="0"/>
    <s v="LEV"/>
    <m/>
    <m/>
    <x v="4"/>
    <x v="1"/>
  </r>
  <r>
    <s v="عمر هاد الورقة عافاك. فين خاصنا نديوه منين نردوه؟"/>
    <x v="1"/>
    <s v="LEV"/>
    <m/>
    <m/>
    <x v="5"/>
    <x v="1"/>
  </r>
  <r>
    <s v="مو معئول لهلأ طلبي ما وصل ."/>
    <x v="1"/>
    <s v="LEV"/>
    <m/>
    <m/>
    <x v="2"/>
    <x v="0"/>
  </r>
  <r>
    <s v="عايز الهدوم دي تتكوى."/>
    <x v="0"/>
    <s v="NILE"/>
    <m/>
    <m/>
    <x v="0"/>
    <x v="0"/>
  </r>
  <r>
    <s v="اليوم عندنا تخزينة قوية مع الشباب."/>
    <x v="1"/>
    <s v="LEV"/>
    <m/>
    <m/>
    <x v="4"/>
    <x v="1"/>
  </r>
  <r>
    <s v="كم من الوقت يبغاله من هنا إلى سيتي هول؟"/>
    <x v="1"/>
    <s v="GULF"/>
    <m/>
    <m/>
    <x v="6"/>
    <x v="0"/>
  </r>
  <r>
    <s v="ما شعورك ؟ لقد صنعت في سويسرا وهي موضة هنا ."/>
    <x v="1"/>
    <s v="MSA"/>
    <m/>
    <m/>
    <x v="1"/>
    <x v="0"/>
  </r>
  <r>
    <s v="يا رجال، شمسك حاميا؟"/>
    <x v="0"/>
    <s v="YEM"/>
    <m/>
    <m/>
    <x v="4"/>
    <x v="0"/>
  </r>
  <r>
    <s v="عندج بيزات؟"/>
    <x v="0"/>
    <s v="LEV"/>
    <m/>
    <m/>
    <x v="6"/>
    <x v="1"/>
  </r>
  <r>
    <s v="السيارة دقمت الجدار."/>
    <x v="0"/>
    <s v="LEV"/>
    <m/>
    <m/>
    <x v="4"/>
    <x v="1"/>
  </r>
  <r>
    <s v="تروم تصلحه؟"/>
    <x v="0"/>
    <s v="GULF"/>
    <m/>
    <m/>
    <x v="6"/>
    <x v="0"/>
  </r>
  <r>
    <s v="أه، أنا عاوز أشوف المعالم السياحية للمدينة."/>
    <x v="1"/>
    <s v="NILE"/>
    <m/>
    <m/>
    <x v="0"/>
    <x v="0"/>
  </r>
  <r>
    <s v="ده غالي شديد ياخ."/>
    <x v="0"/>
    <s v="YEM"/>
    <m/>
    <m/>
    <x v="0"/>
    <x v="1"/>
  </r>
  <r>
    <s v="اكو اي ليموزين؟"/>
    <x v="0"/>
    <s v="IRAQ"/>
    <m/>
    <m/>
    <x v="3"/>
    <x v="0"/>
  </r>
  <r>
    <s v="ابغى قهوة لو سمحت."/>
    <x v="0"/>
    <s v="GULF"/>
    <m/>
    <m/>
    <x v="6"/>
    <x v="0"/>
  </r>
  <r>
    <s v=" إنها كذلك بالفعل."/>
    <x v="0"/>
    <s v="MSA"/>
    <m/>
    <m/>
    <x v="1"/>
    <x v="0"/>
  </r>
  <r>
    <s v="انت جعان يصحبي؟"/>
    <x v="0"/>
    <s v="NILE"/>
    <m/>
    <m/>
    <x v="0"/>
    <x v="0"/>
  </r>
  <r>
    <s v="لا أريد شيئاً آخر ."/>
    <x v="0"/>
    <s v="MSA"/>
    <m/>
    <m/>
    <x v="1"/>
    <x v="0"/>
  </r>
  <r>
    <s v="أنا متأسف أما لوتيل معبي."/>
    <x v="0"/>
    <s v="LEV"/>
    <m/>
    <m/>
    <x v="5"/>
    <x v="1"/>
  </r>
  <r>
    <s v="من زمان عنك, وين جنت؟"/>
    <x v="0"/>
    <s v="GULF"/>
    <m/>
    <m/>
    <x v="3"/>
    <x v="1"/>
  </r>
  <r>
    <s v="إتجه إلى الامام"/>
    <x v="0"/>
    <s v="MSA"/>
    <m/>
    <m/>
    <x v="1"/>
    <x v="0"/>
  </r>
  <r>
    <s v="ما يمكنش تقول هاد الهضرة قدام الناس."/>
    <x v="1"/>
    <s v="LEV"/>
    <m/>
    <m/>
    <x v="5"/>
    <x v="1"/>
  </r>
  <r>
    <s v="علي أن أقول وداعاً ."/>
    <x v="0"/>
    <s v="MSA"/>
    <m/>
    <m/>
    <x v="1"/>
    <x v="0"/>
  </r>
  <r>
    <s v="أنا كنت كانفكر نمشي نلعب كورة."/>
    <x v="1"/>
    <s v="NA"/>
    <m/>
    <m/>
    <x v="5"/>
    <x v="0"/>
  </r>
  <r>
    <s v="دير بالك، السقف قصير."/>
    <x v="0"/>
    <s v="LEV"/>
    <m/>
    <m/>
    <x v="2"/>
    <x v="0"/>
  </r>
  <r>
    <s v="موتري تعطل، تعال خده لو ما عليك امر."/>
    <x v="1"/>
    <s v="YEM"/>
    <m/>
    <m/>
    <x v="6"/>
    <x v="1"/>
  </r>
  <r>
    <s v="علاش غالي برشة البوكسار هذا؟"/>
    <x v="1"/>
    <s v="LEV"/>
    <m/>
    <m/>
    <x v="5"/>
    <x v="1"/>
  </r>
  <r>
    <s v="لنذهب مرة أخرى ."/>
    <x v="0"/>
    <s v="MSA"/>
    <m/>
    <m/>
    <x v="1"/>
    <x v="0"/>
  </r>
  <r>
    <s v="أبا كوفي طال عمرك ."/>
    <x v="0"/>
    <s v="YEM"/>
    <m/>
    <m/>
    <x v="6"/>
    <x v="1"/>
  </r>
  <r>
    <s v="داير امشي الدكان."/>
    <x v="0"/>
    <s v="YEM"/>
    <m/>
    <m/>
    <x v="0"/>
    <x v="1"/>
  </r>
  <r>
    <s v="هرب بسرعة لما شاف الحنشان."/>
    <x v="1"/>
    <s v="LEV"/>
    <m/>
    <m/>
    <x v="4"/>
    <x v="1"/>
  </r>
  <r>
    <s v="جا عبالي شيش برك."/>
    <x v="0"/>
    <s v="LEV"/>
    <m/>
    <m/>
    <x v="2"/>
    <x v="0"/>
  </r>
  <r>
    <s v="انا مستني حضرتك من ساعات في المكتب."/>
    <x v="1"/>
    <s v="NILE"/>
    <m/>
    <m/>
    <x v="0"/>
    <x v="0"/>
  </r>
  <r>
    <s v="برشا تعبان اليوم."/>
    <x v="0"/>
    <s v="NA"/>
    <m/>
    <m/>
    <x v="5"/>
    <x v="0"/>
  </r>
  <r>
    <s v="لكن التكلفة تزداد , أليس كذلك ؟"/>
    <x v="1"/>
    <s v="MSA"/>
    <m/>
    <m/>
    <x v="1"/>
    <x v="0"/>
  </r>
  <r>
    <s v="حالة الجو متقلبة . من فضلكم اربطوا أحزمة مقاعدكم ."/>
    <x v="1"/>
    <s v="MSA"/>
    <m/>
    <m/>
    <x v="1"/>
    <x v="0"/>
  </r>
  <r>
    <s v="مخيرا. الله يحفداك."/>
    <x v="0"/>
    <s v="YEM"/>
    <m/>
    <m/>
    <x v="5"/>
    <x v="1"/>
  </r>
  <r>
    <s v="دخل معهم بالعقل، مش بالصميل."/>
    <x v="1"/>
    <s v="LEV"/>
    <m/>
    <m/>
    <x v="4"/>
    <x v="1"/>
  </r>
  <r>
    <s v="هل يمكن أن تعطيني الشوكة من فضلك ."/>
    <x v="1"/>
    <s v="MSA"/>
    <m/>
    <m/>
    <x v="1"/>
    <x v="0"/>
  </r>
  <r>
    <s v="ما هو الأفضل ؟"/>
    <x v="0"/>
    <s v="MSA"/>
    <m/>
    <m/>
    <x v="1"/>
    <x v="0"/>
  </r>
  <r>
    <s v="عقّ علينا يا رجال، تأخرنا."/>
    <x v="1"/>
    <s v="LEV"/>
    <m/>
    <m/>
    <x v="4"/>
    <x v="1"/>
  </r>
  <r>
    <s v="هذا الولد طاهش، ما يسمع كلام أحد."/>
    <x v="1"/>
    <s v="LEV"/>
    <m/>
    <m/>
    <x v="4"/>
    <x v="1"/>
  </r>
  <r>
    <s v="اني حتي مشي ما امشي"/>
    <x v="0"/>
    <s v="YEM"/>
    <m/>
    <m/>
    <x v="3"/>
    <x v="1"/>
  </r>
  <r>
    <s v="داير أرسله بالبريد البري."/>
    <x v="0"/>
    <s v="YEM"/>
    <m/>
    <m/>
    <x v="0"/>
    <x v="1"/>
  </r>
  <r>
    <s v="رجاءا اكتب عنوانك هوني."/>
    <x v="0"/>
    <s v="LEV"/>
    <m/>
    <m/>
    <x v="3"/>
    <x v="1"/>
  </r>
  <r>
    <s v="علاش ما ساليتيش واجباتك المدرسية لحد الآن؟"/>
    <x v="1"/>
    <s v="LEV"/>
    <m/>
    <m/>
    <x v="5"/>
    <x v="1"/>
  </r>
  <r>
    <s v="اصك تساليهم قبل ما نخرجوا باش ما تعطلش على اللعب مع صحابك."/>
    <x v="2"/>
    <s v="LEV"/>
    <m/>
    <m/>
    <x v="5"/>
    <x v="1"/>
  </r>
  <r>
    <s v="رجاءا ارسلي شخص للاعلى علمود جنطيي ساعه ستي ونص."/>
    <x v="1"/>
    <s v="LEV"/>
    <m/>
    <m/>
    <x v="3"/>
    <x v="1"/>
  </r>
  <r>
    <s v="الواحد يقدر يتمشى في الكورنيش ويستمتع بالهوا النقي."/>
    <x v="2"/>
    <s v="NILE"/>
    <m/>
    <m/>
    <x v="5"/>
    <x v="1"/>
  </r>
  <r>
    <s v="هالإيام عم ينتشر كتير حالات رشح."/>
    <x v="1"/>
    <s v="LEV"/>
    <m/>
    <m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s v="LEV"/>
    <m/>
    <m/>
    <x v="0"/>
    <x v="0"/>
  </r>
  <r>
    <s v="يبن عمي، ليش تأخرت؟ قدنا واقف هنا ساعة كأني حارس بوابة"/>
    <x v="1"/>
    <s v="LEV"/>
    <m/>
    <m/>
    <x v="1"/>
    <x v="1"/>
  </r>
  <r>
    <s v="مشكور ما قصرت. انا وسيد كوقوري مستانسين ان جينا لندن عشان نجتمع معاك وانت واحد من أهم شركائنا."/>
    <x v="1"/>
    <s v="MSA"/>
    <m/>
    <m/>
    <x v="2"/>
    <x v="1"/>
  </r>
  <r>
    <s v="أعتقد إنت المفروض تقدر تجيب كل الحاجات من السوبر ماركت. لو ماقدرتش، متقلقش. أنا هاروح الصيدلية بكرة."/>
    <x v="1"/>
    <s v="NILE"/>
    <m/>
    <m/>
    <x v="3"/>
    <x v="0"/>
  </r>
  <r>
    <s v="موتري خرب، لو سمحت تعال سير خده."/>
    <x v="0"/>
    <s v="YEM"/>
    <m/>
    <m/>
    <x v="2"/>
    <x v="1"/>
  </r>
  <r>
    <s v="شلونكم اليوم؟ الجو اليوم وايد غبار، لازم الواحد يلبس كمامة."/>
    <x v="1"/>
    <s v="GULF"/>
    <m/>
    <m/>
    <x v="2"/>
    <x v="0"/>
  </r>
  <r>
    <s v="نعم، سيد تانكا. اكو رسالتين الك."/>
    <x v="0"/>
    <s v="IRAQ"/>
    <m/>
    <m/>
    <x v="4"/>
    <x v="0"/>
  </r>
  <r>
    <s v="ماكو أكل اليوم؟"/>
    <x v="2"/>
    <s v="IRAQ"/>
    <m/>
    <m/>
    <x v="4"/>
    <x v="0"/>
  </r>
  <r>
    <s v="بغيتي تبدل هاد العدسات بشي وحدين قصاح؟"/>
    <x v="0"/>
    <s v="LEV"/>
    <m/>
    <m/>
    <x v="5"/>
    <x v="1"/>
  </r>
  <r>
    <s v="عليك أن تحجز مقدما ."/>
    <x v="2"/>
    <s v="MSA"/>
    <m/>
    <m/>
    <x v="6"/>
    <x v="0"/>
  </r>
  <r>
    <s v="أيمكنني أن أبقى ثلاث ليالٍ ؟"/>
    <x v="0"/>
    <s v="MSA"/>
    <m/>
    <m/>
    <x v="6"/>
    <x v="0"/>
  </r>
  <r>
    <s v="هل اكو مطعم قريب هوني؟"/>
    <x v="2"/>
    <s v="IRAQ"/>
    <m/>
    <m/>
    <x v="4"/>
    <x v="0"/>
  </r>
  <r>
    <s v="كيف حالك يا رجال؟ إن شاء الله أمورك طيبة وما فيك أي بلى"/>
    <x v="1"/>
    <s v="GULF"/>
    <m/>
    <m/>
    <x v="1"/>
    <x v="1"/>
  </r>
  <r>
    <s v="كلا . إني ياباني ."/>
    <x v="2"/>
    <s v="MSA"/>
    <m/>
    <m/>
    <x v="6"/>
    <x v="0"/>
  </r>
  <r>
    <s v="وين ممكن ألكى محل يبيع أثاث مستعمل نظيف؟"/>
    <x v="0"/>
    <s v="GULF"/>
    <m/>
    <m/>
    <x v="4"/>
    <x v="1"/>
  </r>
  <r>
    <s v="فين غاديين اليوم العشية؟"/>
    <x v="2"/>
    <s v="LEV"/>
    <m/>
    <m/>
    <x v="5"/>
    <x v="1"/>
  </r>
  <r>
    <s v="لك شو عم تساوي؟"/>
    <x v="2"/>
    <s v="LEV"/>
    <m/>
    <m/>
    <x v="0"/>
    <x v="0"/>
  </r>
  <r>
    <s v="أبا جاي مع ليمون لو ما عليك أمر."/>
    <x v="0"/>
    <s v="GULF"/>
    <m/>
    <m/>
    <x v="2"/>
    <x v="0"/>
  </r>
  <r>
    <s v="حابب أعمل إتصال لبرات البلد عاليابان ."/>
    <x v="0"/>
    <s v="NILE"/>
    <m/>
    <m/>
    <x v="0"/>
    <x v="1"/>
  </r>
  <r>
    <s v="ما بينفع الكلام ده ياخي"/>
    <x v="2"/>
    <s v="NILE"/>
    <m/>
    <m/>
    <x v="3"/>
    <x v="0"/>
  </r>
  <r>
    <s v="اصعد السلم ثم اتجه يميناً . إنه على يسارك ."/>
    <x v="0"/>
    <s v="MSA"/>
    <m/>
    <m/>
    <x v="6"/>
    <x v="0"/>
  </r>
  <r>
    <s v="وش تبي مني ؟"/>
    <x v="2"/>
    <s v="GULF"/>
    <m/>
    <m/>
    <x v="2"/>
    <x v="0"/>
  </r>
  <r>
    <s v="شي بيبسي زيرو لأني مسوي دايت ؟"/>
    <x v="0"/>
    <s v="GULF"/>
    <m/>
    <m/>
    <x v="2"/>
    <x v="0"/>
  </r>
  <r>
    <s v="كيف بدك البيض؟"/>
    <x v="2"/>
    <s v="LEV"/>
    <m/>
    <m/>
    <x v="0"/>
    <x v="0"/>
  </r>
  <r>
    <s v="بسرعة قبل ما السوق يسدّ"/>
    <x v="2"/>
    <s v="LEV"/>
    <m/>
    <m/>
    <x v="1"/>
    <x v="1"/>
  </r>
  <r>
    <s v="يا صاحبي ليش تأخرت؟ قد لي ساعتين وأنا جالس أنقز هنا أستنى، لو دريت كان نمت لي شوية"/>
    <x v="1"/>
    <s v="GULF"/>
    <m/>
    <m/>
    <x v="1"/>
    <x v="1"/>
  </r>
  <r>
    <s v="أبا عطر لو سمحت."/>
    <x v="2"/>
    <s v="GULF"/>
    <m/>
    <m/>
    <x v="2"/>
    <x v="0"/>
  </r>
  <r>
    <s v="هل يمكن أن أترك هذه العربة خارج الردهة ؟"/>
    <x v="0"/>
    <s v="MSA"/>
    <m/>
    <m/>
    <x v="6"/>
    <x v="0"/>
  </r>
  <r>
    <s v="أنا داير أسافر."/>
    <x v="2"/>
    <s v="NILE"/>
    <m/>
    <m/>
    <x v="3"/>
    <x v="0"/>
  </r>
  <r>
    <s v=" البيت الجديد وايد كبير وواسع."/>
    <x v="0"/>
    <s v="GULF"/>
    <m/>
    <m/>
    <x v="2"/>
    <x v="0"/>
  </r>
  <r>
    <s v="واش هاد القطار كايتوقف فبالتيمور؟"/>
    <x v="0"/>
    <s v="NA"/>
    <m/>
    <m/>
    <x v="5"/>
    <x v="0"/>
  </r>
  <r>
    <s v="حدا بيعرف إيمتى رح يخلص هالمشروع؟ تأخر كتير وبلشنا نقلق."/>
    <x v="1"/>
    <s v="LEV"/>
    <m/>
    <m/>
    <x v="0"/>
    <x v="0"/>
  </r>
  <r>
    <s v="شكو ماكو؟"/>
    <x v="2"/>
    <s v="IRAQ"/>
    <m/>
    <m/>
    <x v="4"/>
    <x v="0"/>
  </r>
  <r>
    <s v="ما يمكنش الواحد ينسى عائلتو و صحابو، خاصنا نتواصلو معاهم ديما ونزوروهم"/>
    <x v="1"/>
    <s v="NILE"/>
    <m/>
    <m/>
    <x v="5"/>
    <x v="1"/>
  </r>
  <r>
    <s v="ما كان يجب أن يكون كثيراً هكذا ."/>
    <x v="0"/>
    <s v="MSA"/>
    <m/>
    <m/>
    <x v="6"/>
    <x v="0"/>
  </r>
  <r>
    <s v="الملابس الطويلة هي الموضة الآن ."/>
    <x v="0"/>
    <s v="MSA"/>
    <m/>
    <m/>
    <x v="6"/>
    <x v="0"/>
  </r>
  <r>
    <s v="عايز أمشي الدكان ."/>
    <x v="2"/>
    <s v="NILE"/>
    <m/>
    <m/>
    <x v="3"/>
    <x v="0"/>
  </r>
  <r>
    <s v="وين رايح بهذا الوقت؟ الدنيا ليل والدرب موحش، خليك شوية نفرتح لنا كاسة شاهي"/>
    <x v="1"/>
    <s v="GULF"/>
    <m/>
    <m/>
    <x v="1"/>
    <x v="1"/>
  </r>
  <r>
    <s v="وين با نروح اليوم العصر؟ الجو حلو برا وبا نتمشى شوية أو نجلس في مكان حلو."/>
    <x v="1"/>
    <s v="GULF"/>
    <m/>
    <m/>
    <x v="1"/>
    <x v="1"/>
  </r>
  <r>
    <s v="أقول لا تسولف وياي"/>
    <x v="2"/>
    <s v="GULF"/>
    <m/>
    <m/>
    <x v="2"/>
    <x v="0"/>
  </r>
  <r>
    <s v=" أنا أريد أنزل للسوك اليوم أشتري بعض الأغراض للبيت، محتاجين هواي شغلات."/>
    <x v="1"/>
    <s v="GULF"/>
    <m/>
    <m/>
    <x v="4"/>
    <x v="1"/>
  </r>
  <r>
    <s v="من فضلك غادر الفندق قبل التاسعة ."/>
    <x v="0"/>
    <s v="MSA"/>
    <m/>
    <m/>
    <x v="6"/>
    <x v="0"/>
  </r>
  <r>
    <s v="يا ولدي، علاش ما جاوبتيش على التيليفون؟"/>
    <x v="0"/>
    <s v="NA"/>
    <m/>
    <m/>
    <x v="5"/>
    <x v="0"/>
  </r>
  <r>
    <s v="دير بالك، السقف قصير."/>
    <x v="2"/>
    <s v="LEV"/>
    <m/>
    <m/>
    <x v="0"/>
    <x v="0"/>
  </r>
  <r>
    <s v="يا الدراري، فين ممكن نلقى شي حانوت كيبيع الماعن المستعمل نقي؟"/>
    <x v="1"/>
    <s v="NA"/>
    <m/>
    <m/>
    <x v="5"/>
    <x v="0"/>
  </r>
  <r>
    <s v="بمجرد النظر إليها تبدو وكأنك قد التقطت بعض العدوى منها ."/>
    <x v="1"/>
    <s v="MSA"/>
    <m/>
    <m/>
    <x v="6"/>
    <x v="0"/>
  </r>
  <r>
    <s v="عايز الهدوم دي تتكوى."/>
    <x v="2"/>
    <s v="NILE"/>
    <m/>
    <m/>
    <x v="3"/>
    <x v="0"/>
  </r>
  <r>
    <s v="لا أريد شيئاً آخر ."/>
    <x v="2"/>
    <s v="MSA"/>
    <m/>
    <m/>
    <x v="6"/>
    <x v="0"/>
  </r>
  <r>
    <s v="ازيك عامل ايه النهارده؟"/>
    <x v="2"/>
    <s v="NILE"/>
    <m/>
    <m/>
    <x v="3"/>
    <x v="0"/>
  </r>
  <r>
    <s v="اني حتى مشي ما جنت امشي"/>
    <x v="2"/>
    <s v="NA"/>
    <m/>
    <m/>
    <x v="4"/>
    <x v="1"/>
  </r>
  <r>
    <s v="أبا مجبوس دياي عل الفطور"/>
    <x v="2"/>
    <s v="GULF"/>
    <m/>
    <m/>
    <x v="2"/>
    <x v="0"/>
  </r>
  <r>
    <s v="أنظر إلى جمالها الفاتن."/>
    <x v="2"/>
    <s v="MSA"/>
    <m/>
    <m/>
    <x v="6"/>
    <x v="0"/>
  </r>
  <r>
    <s v="أنا بدي أتعلم أطبخ أكلات جديدة."/>
    <x v="0"/>
    <s v="LEV"/>
    <m/>
    <m/>
    <x v="0"/>
    <x v="0"/>
  </r>
  <r>
    <s v="تعال نشرب لنا كاسة شاهي بالحليب ونسمر شوية."/>
    <x v="0"/>
    <s v="GULF"/>
    <m/>
    <m/>
    <x v="1"/>
    <x v="1"/>
  </r>
  <r>
    <s v="طوالي عليك الله ."/>
    <x v="2"/>
    <s v="GULF"/>
    <m/>
    <m/>
    <x v="3"/>
    <x v="1"/>
  </r>
  <r>
    <s v="لقد كانت المزارات في اليونان تاريخية ."/>
    <x v="0"/>
    <s v="MSA"/>
    <m/>
    <m/>
    <x v="6"/>
    <x v="0"/>
  </r>
  <r>
    <s v="ناس قليلين اللي هايكونوا في الجولة الاختيارية."/>
    <x v="0"/>
    <s v="NILE"/>
    <m/>
    <m/>
    <x v="3"/>
    <x v="0"/>
  </r>
  <r>
    <s v="أنا كنت عم فكر أروح رحلة قصيرة آخر الأسبوع الجاي، بس لهلا ما قررت لوين بالزبط، يمكن نروح دبي أو الشارقة."/>
    <x v="1"/>
    <s v="LEV"/>
    <m/>
    <m/>
    <x v="0"/>
    <x v="0"/>
  </r>
  <r>
    <s v="أنا اشتقت كتير لأهلي وقرايبي اللي ببلدي، بدي أزورهم قريب وأقضي معهم وقت طويل."/>
    <x v="1"/>
    <s v="LEV"/>
    <m/>
    <m/>
    <x v="0"/>
    <x v="0"/>
  </r>
  <r>
    <s v="ما هو الأفضل ؟"/>
    <x v="2"/>
    <s v="MSA"/>
    <m/>
    <m/>
    <x v="6"/>
    <x v="0"/>
  </r>
  <r>
    <s v="باش نسافر من اما مطار؟"/>
    <x v="2"/>
    <s v="NA"/>
    <m/>
    <m/>
    <x v="5"/>
    <x v="0"/>
  </r>
  <r>
    <s v="عمبتسأل سعر شو هيدا على فاتورتي ."/>
    <x v="0"/>
    <s v="LEV"/>
    <m/>
    <m/>
    <x v="0"/>
    <x v="0"/>
  </r>
  <r>
    <s v="ممكن تساعديني في ترتيب الأغراض في الدولاب؟ أنا ما عندي وقت اليوم وبا أريد أخلص الشغل بسرعة."/>
    <x v="1"/>
    <s v="GULF"/>
    <m/>
    <m/>
    <x v="1"/>
    <x v="1"/>
  </r>
  <r>
    <s v="ازاي أرجع؟"/>
    <x v="2"/>
    <s v="NILE"/>
    <m/>
    <m/>
    <x v="3"/>
    <x v="0"/>
  </r>
  <r>
    <s v="هاي الغرفة كولش صغيره."/>
    <x v="2"/>
    <s v="IRAQ"/>
    <m/>
    <m/>
    <x v="4"/>
    <x v="0"/>
  </r>
  <r>
    <s v="على الساحل الشرقي، حتلاقي كمان أماكن مشهورة، زي نيويورك، وواشنطن دي سي وبوسطن."/>
    <x v="1"/>
    <s v="NILE"/>
    <m/>
    <m/>
    <x v="3"/>
    <x v="0"/>
  </r>
  <r>
    <s v="كيف حالك اليوم؟ إن شاء الله أنك دحّان وما فيك شي."/>
    <x v="0"/>
    <s v="GULF"/>
    <m/>
    <m/>
    <x v="1"/>
    <x v="1"/>
  </r>
  <r>
    <s v="اكو اي ليموزين؟"/>
    <x v="2"/>
    <s v="IRAQ"/>
    <m/>
    <m/>
    <x v="4"/>
    <x v="0"/>
  </r>
  <r>
    <s v="أنا باغي نمشي المول."/>
    <x v="2"/>
    <s v="NA"/>
    <m/>
    <m/>
    <x v="5"/>
    <x v="0"/>
  </r>
  <r>
    <s v="ممكن ناخد  لينا أوضة على البحر؟"/>
    <x v="0"/>
    <s v="NILE"/>
    <m/>
    <m/>
    <x v="3"/>
    <x v="0"/>
  </r>
  <r>
    <s v="راني حاب حقيبة ماكياج."/>
    <x v="2"/>
    <s v="NA"/>
    <m/>
    <m/>
    <x v="5"/>
    <x v="0"/>
  </r>
  <r>
    <s v="ماعنديش موعد، بلحاق الحالة مستعجلة."/>
    <x v="0"/>
    <s v="NA"/>
    <m/>
    <m/>
    <x v="5"/>
    <x v="0"/>
  </r>
  <r>
    <s v="عمي، با أفكر أتزوج بنتكم."/>
    <x v="2"/>
    <s v="GULF"/>
    <m/>
    <m/>
    <x v="1"/>
    <x v="1"/>
  </r>
  <r>
    <s v="تروم تساعد رفيقج؟"/>
    <x v="2"/>
    <s v="GULF"/>
    <m/>
    <m/>
    <x v="2"/>
    <x v="0"/>
  </r>
  <r>
    <s v="ممكن تحولي اياهم لدولارات، لو سمحت؟"/>
    <x v="0"/>
    <s v="LEV"/>
    <m/>
    <m/>
    <x v="0"/>
    <x v="0"/>
  </r>
  <r>
    <s v="اشتي العب تنس."/>
    <x v="2"/>
    <s v="GULF"/>
    <m/>
    <m/>
    <x v="1"/>
    <x v="1"/>
  </r>
  <r>
    <s v="داير أرسله بالبريد البري."/>
    <x v="2"/>
    <s v="NILE"/>
    <m/>
    <m/>
    <x v="3"/>
    <x v="0"/>
  </r>
  <r>
    <s v="في واحد خبط فيا. وبعديها ملقتش محفظتي."/>
    <x v="0"/>
    <s v="NILE"/>
    <m/>
    <m/>
    <x v="3"/>
    <x v="0"/>
  </r>
  <r>
    <s v="البرفان دة بكام؟"/>
    <x v="2"/>
    <s v="NILE"/>
    <m/>
    <m/>
    <x v="3"/>
    <x v="0"/>
  </r>
  <r>
    <s v="رح أوصل حوالي الساعة تسعة المسا."/>
    <x v="0"/>
    <s v="LEV"/>
    <m/>
    <m/>
    <x v="0"/>
    <x v="0"/>
  </r>
  <r>
    <s v="هل اكو اي جوله صباحيي؟"/>
    <x v="2"/>
    <s v="IRAQ"/>
    <m/>
    <m/>
    <x v="4"/>
    <x v="0"/>
  </r>
  <r>
    <s v="بس عشان هديه تذكارية . انت عارف، ماعندناش النوع ده من التاكسيات في اليابان ."/>
    <x v="1"/>
    <s v="NILE"/>
    <m/>
    <m/>
    <x v="3"/>
    <x v="0"/>
  </r>
  <r>
    <s v="أنا عيان شوية اليوم، حسيت ما نعستش مزيان البارح."/>
    <x v="0"/>
    <s v="GULF"/>
    <m/>
    <m/>
    <x v="5"/>
    <x v="1"/>
  </r>
  <r>
    <s v="يصير ادفع بجيكات سياحية؟"/>
    <x v="2"/>
    <s v="LEV"/>
    <m/>
    <m/>
    <x v="2"/>
    <x v="1"/>
  </r>
  <r>
    <s v="بأثر شي اذا دقيتلك بعدين؟"/>
    <x v="2"/>
    <s v="GULF"/>
    <m/>
    <m/>
    <x v="0"/>
    <x v="1"/>
  </r>
  <r>
    <s v="ممكن تساعديني في ترتيب الأغراض في الدولاب؟ أنا ما عندي وقت اليوم وبا أريد أخلص الشغل بسرعة."/>
    <x v="1"/>
    <s v="GULF"/>
    <m/>
    <m/>
    <x v="1"/>
    <x v="1"/>
  </r>
  <r>
    <s v="أنا كنبغي نسمع موسيقى هادية قبل ما نعس باش نرتاح."/>
    <x v="0"/>
    <s v="NA"/>
    <m/>
    <m/>
    <x v="5"/>
    <x v="0"/>
  </r>
  <r>
    <s v="اطيق احجز اجر-سيارة هوني؟"/>
    <x v="2"/>
    <s v="GULF"/>
    <m/>
    <m/>
    <x v="4"/>
    <x v="1"/>
  </r>
  <r>
    <s v="عندكم شي ناكله؟ زين باخرج أفحط لي حاجة من الدكان."/>
    <x v="0"/>
    <s v="GULF"/>
    <m/>
    <m/>
    <x v="1"/>
    <x v="1"/>
  </r>
  <r>
    <s v="مو معقول لهلأ طلبي ما وصل ."/>
    <x v="0"/>
    <s v="LEV"/>
    <m/>
    <m/>
    <x v="0"/>
    <x v="0"/>
  </r>
  <r>
    <s v=" وين با نروح اليوم؟"/>
    <x v="2"/>
    <s v="GULF"/>
    <m/>
    <m/>
    <x v="1"/>
    <x v="1"/>
  </r>
  <r>
    <s v="اي بعض الغرف تطل على الحديقة بس وايد غالية."/>
    <x v="0"/>
    <s v="GULF"/>
    <m/>
    <m/>
    <x v="2"/>
    <x v="0"/>
  </r>
  <r>
    <s v="كم من الوقت يبغاله من هنا لين سيتي هول ؟"/>
    <x v="0"/>
    <s v="GULF"/>
    <m/>
    <m/>
    <x v="2"/>
    <x v="0"/>
  </r>
  <r>
    <s v="عادي تجوف موتري؟"/>
    <x v="2"/>
    <s v="LEV"/>
    <m/>
    <m/>
    <x v="2"/>
    <x v="1"/>
  </r>
  <r>
    <s v="هل يمكنك أن تقوم بضبطها الآن ؟"/>
    <x v="0"/>
    <s v="MSA"/>
    <m/>
    <m/>
    <x v="6"/>
    <x v="0"/>
  </r>
  <r>
    <s v="به هانا اي بقعه يقبلو الغسيل ايام الاحد؟"/>
    <x v="0"/>
    <s v="YEM"/>
    <m/>
    <m/>
    <x v="1"/>
    <x v="0"/>
  </r>
  <r>
    <s v="جنت أحاول أتصل بيك."/>
    <x v="2"/>
    <s v="NA"/>
    <m/>
    <m/>
    <x v="4"/>
    <x v="1"/>
  </r>
  <r>
    <s v="ماشي شي نشتريه."/>
    <x v="2"/>
    <s v="GULF"/>
    <m/>
    <m/>
    <x v="2"/>
    <x v="0"/>
  </r>
  <r>
    <s v="دخيلك في عندك في اكبر؟"/>
    <x v="2"/>
    <s v="LEV"/>
    <m/>
    <m/>
    <x v="0"/>
    <x v="0"/>
  </r>
  <r>
    <s v="برشا تعب اليوم."/>
    <x v="2"/>
    <s v="LEV"/>
    <m/>
    <m/>
    <x v="5"/>
    <x v="1"/>
  </r>
  <r>
    <s v="ماشين وين الليلة؟"/>
    <x v="2"/>
    <s v="LEV"/>
    <m/>
    <m/>
    <x v="3"/>
    <x v="1"/>
  </r>
  <r>
    <s v="ما أشرب فهوة أني."/>
    <x v="2"/>
    <s v="NA"/>
    <m/>
    <m/>
    <x v="4"/>
    <x v="1"/>
  </r>
  <r>
    <s v="ما اقدر اشوف الشاشة زين من هنا. أروم اغير مقعدي؟"/>
    <x v="0"/>
    <s v="GULF"/>
    <m/>
    <m/>
    <x v="2"/>
    <x v="0"/>
  </r>
  <r>
    <s v="اني  أريد أروح للسوك اليوم ."/>
    <x v="0"/>
    <s v="GULF"/>
    <m/>
    <m/>
    <x v="4"/>
    <x v="1"/>
  </r>
  <r>
    <s v="عايزة شبشب كويس و كعب عالي عليك الله ."/>
    <x v="0"/>
    <s v="GULF"/>
    <m/>
    <m/>
    <x v="3"/>
    <x v="1"/>
  </r>
  <r>
    <s v="أنا تعلمت كتير شغلات جديدة بالدورة التدريبية اللي حضرتها الأسبوع اللي فات."/>
    <x v="1"/>
    <s v="LEV"/>
    <m/>
    <m/>
    <x v="0"/>
    <x v="0"/>
  </r>
  <r>
    <s v="أنا ايش سويت لك؟"/>
    <x v="2"/>
    <s v="GULF"/>
    <m/>
    <m/>
    <x v="2"/>
    <x v="0"/>
  </r>
  <r>
    <s v="وين بقدر ألائي محل ساعات؟"/>
    <x v="2"/>
    <s v="GULF"/>
    <m/>
    <m/>
    <x v="0"/>
    <x v="1"/>
  </r>
  <r>
    <s v="يا خويا ممكن تعاوني في تصليح البيسي؟ ما خدامش مزيان من الصباح و باغي نساليه ضروري."/>
    <x v="1"/>
    <s v="NA"/>
    <m/>
    <m/>
    <x v="5"/>
    <x v="0"/>
  </r>
  <r>
    <s v="أنا با أريد أعزف."/>
    <x v="2"/>
    <s v="GULF"/>
    <m/>
    <m/>
    <x v="1"/>
    <x v="1"/>
  </r>
  <r>
    <s v=" الجو اليوم زين بزاف."/>
    <x v="2"/>
    <s v="GULF"/>
    <m/>
    <m/>
    <x v="5"/>
    <x v="1"/>
  </r>
  <r>
    <s v="أنا اشتقت كثير لأهلي وأقاربي اللي في بلادي، با أريد أزورهم قريب وأقضي معاهم وقت طويل."/>
    <x v="1"/>
    <s v="GULF"/>
    <m/>
    <m/>
    <x v="1"/>
    <x v="1"/>
  </r>
  <r>
    <s v="اشعر بالتعب الشديد . من فضلك استدع طبيباً ."/>
    <x v="0"/>
    <s v="MSA"/>
    <m/>
    <m/>
    <x v="6"/>
    <x v="0"/>
  </r>
  <r>
    <s v=" الجو اليوم فيه غبار شوية، الواحد لازم ينتبه ويغسل وجهه وأيدينه لما يرجع البيت."/>
    <x v="1"/>
    <s v="NILE"/>
    <m/>
    <m/>
    <x v="1"/>
    <x v="1"/>
  </r>
  <r>
    <s v="ده غالي جداً."/>
    <x v="2"/>
    <s v="NILE"/>
    <m/>
    <m/>
    <x v="3"/>
    <x v="0"/>
  </r>
  <r>
    <s v="اشتي اخرج من هنا."/>
    <x v="2"/>
    <s v="GULF"/>
    <m/>
    <m/>
    <x v="1"/>
    <x v="1"/>
  </r>
  <r>
    <s v="ابغى قهوة  لو سمحت."/>
    <x v="2"/>
    <s v="GULF"/>
    <m/>
    <m/>
    <x v="2"/>
    <x v="0"/>
  </r>
  <r>
    <s v="علاش غالي برشة البوكسار هذا؟"/>
    <x v="0"/>
    <s v="NA"/>
    <m/>
    <m/>
    <x v="5"/>
    <x v="0"/>
  </r>
  <r>
    <s v="أشتي توصلني للمطار بسرعة، عندي رحلة بعد ساعة."/>
    <x v="0"/>
    <s v="GULF"/>
    <m/>
    <m/>
    <x v="1"/>
    <x v="1"/>
  </r>
  <r>
    <s v="الطلعة جانت كلش حلوة"/>
    <x v="2"/>
    <s v="IRAQ"/>
    <m/>
    <m/>
    <x v="4"/>
    <x v="0"/>
  </r>
  <r>
    <s v="إتصل على الإسعاف من فضلك."/>
    <x v="2"/>
    <s v="MSA"/>
    <m/>
    <m/>
    <x v="6"/>
    <x v="0"/>
  </r>
  <r>
    <s v="هل هذا هو كل شيء متضمن في الفاتورة ؟"/>
    <x v="0"/>
    <s v="MSA"/>
    <m/>
    <m/>
    <x v="6"/>
    <x v="0"/>
  </r>
  <r>
    <s v="فقط إذا كانت ملكك ، سيدي . هاها ، مزحة صغيرة ."/>
    <x v="0"/>
    <s v="MSA"/>
    <m/>
    <m/>
    <x v="6"/>
    <x v="0"/>
  </r>
  <r>
    <s v="اني اريد أشارك بالمسابقة."/>
    <x v="2"/>
    <s v="GULF"/>
    <m/>
    <m/>
    <x v="4"/>
    <x v="1"/>
  </r>
  <r>
    <s v="لك حل عني  يزم."/>
    <x v="2"/>
    <s v="GULF"/>
    <m/>
    <m/>
    <x v="0"/>
    <x v="1"/>
  </r>
  <r>
    <s v="لكن التكلفة تزداد , أليس كذلك ؟"/>
    <x v="0"/>
    <s v="MSA"/>
    <m/>
    <m/>
    <x v="6"/>
    <x v="0"/>
  </r>
  <r>
    <s v="الإنجاز مالته طموحي بالحياة."/>
    <x v="0"/>
    <s v="GULF"/>
    <m/>
    <m/>
    <x v="4"/>
    <x v="1"/>
  </r>
  <r>
    <s v="صاحبي مريض برشا. تنجم تكلم طبيب، يعيشك؟"/>
    <x v="0"/>
    <s v="NA"/>
    <m/>
    <m/>
    <x v="5"/>
    <x v="0"/>
  </r>
  <r>
    <s v="يا أختي، ممكن تعاونيني نرتبو الحوايج."/>
    <x v="0"/>
    <s v="LEV"/>
    <m/>
    <m/>
    <x v="5"/>
    <x v="1"/>
  </r>
  <r>
    <s v="هل يمكنني أن أكل كل حبة الفاكهة هذه ؟"/>
    <x v="0"/>
    <s v="MSA"/>
    <m/>
    <m/>
    <x v="6"/>
    <x v="0"/>
  </r>
  <r>
    <s v="ايوه، كل اللي انت عاوزو شامبو و سيشوار ."/>
    <x v="0"/>
    <s v="NILE"/>
    <m/>
    <m/>
    <x v="3"/>
    <x v="0"/>
  </r>
  <r>
    <s v="رجاءا اكتب عنوانك هوني."/>
    <x v="2"/>
    <s v="LEV"/>
    <m/>
    <m/>
    <x v="4"/>
    <x v="1"/>
  </r>
  <r>
    <s v="تركت شنطتي بشي مطرح."/>
    <x v="2"/>
    <s v="LEV"/>
    <m/>
    <m/>
    <x v="0"/>
    <x v="0"/>
  </r>
  <r>
    <s v="الشي الجنت ادور عليه."/>
    <x v="2"/>
    <s v="NA"/>
    <m/>
    <m/>
    <x v="4"/>
    <x v="1"/>
  </r>
  <r>
    <s v="كيفاش راك؟"/>
    <x v="2"/>
    <s v="NA"/>
    <m/>
    <m/>
    <x v="5"/>
    <x v="0"/>
  </r>
  <r>
    <s v="نحبك بزاف"/>
    <x v="2"/>
    <s v="NA"/>
    <m/>
    <m/>
    <x v="5"/>
    <x v="0"/>
  </r>
  <r>
    <s v=" اكدر اكل وجبتي بعدين؟ احس نفسي متخربط هسه."/>
    <x v="0"/>
    <s v="IRAQ"/>
    <m/>
    <m/>
    <x v="4"/>
    <x v="0"/>
  </r>
  <r>
    <s v="عندك بيزات؟"/>
    <x v="2"/>
    <s v="LEV"/>
    <m/>
    <m/>
    <x v="2"/>
    <x v="1"/>
  </r>
  <r>
    <s v="وين الأصانصير؟"/>
    <x v="2"/>
    <s v="GULF"/>
    <m/>
    <m/>
    <x v="0"/>
    <x v="1"/>
  </r>
  <r>
    <s v="بطني واجعاني شديد."/>
    <x v="2"/>
    <s v="NILE"/>
    <m/>
    <m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s v="NA"/>
    <m/>
    <m/>
    <x v="0"/>
    <x v="0"/>
  </r>
  <r>
    <s v="يا جماعة، منو يعرف إيمتى راح يخلص هذا المشروع؟ تأخر هواي وبدينا نقلق."/>
    <x v="0"/>
    <s v="LEV"/>
    <m/>
    <m/>
    <x v="1"/>
    <x v="1"/>
  </r>
  <r>
    <s v="يا ولد، ليش ما رديت على اتصالاتي؟ كنت با أحاول أتصل بك من الصبح."/>
    <x v="0"/>
    <s v="LEV"/>
    <m/>
    <m/>
    <x v="2"/>
    <x v="1"/>
  </r>
  <r>
    <s v=" أنا شفت الفيلم اللي نزل الأسبوع اللي فات، جان كلش حلو وبي ضحك بنفس الوقت."/>
    <x v="0"/>
    <s v="IRAQ"/>
    <m/>
    <m/>
    <x v="1"/>
    <x v="0"/>
  </r>
  <r>
    <s v="شكو ماكو."/>
    <x v="1"/>
    <s v="IRAQ"/>
    <m/>
    <m/>
    <x v="1"/>
    <x v="0"/>
  </r>
  <r>
    <s v="بغيتي تبدل هاد العدسات بشي وحدين قصاح؟"/>
    <x v="2"/>
    <s v="NA"/>
    <m/>
    <m/>
    <x v="0"/>
    <x v="0"/>
  </r>
  <r>
    <s v="ما يصير الواحد ينسى أهله وأصحابه، لازم نتواصل وياهم دايماً ونزورهم"/>
    <x v="0"/>
    <s v="LEV"/>
    <m/>
    <m/>
    <x v="3"/>
    <x v="1"/>
  </r>
  <r>
    <s v="هل يمكنني أن أكل كل حبة الفاكهة هذه ؟"/>
    <x v="2"/>
    <s v="MSA"/>
    <m/>
    <m/>
    <x v="4"/>
    <x v="0"/>
  </r>
  <r>
    <s v="أنا تعبان شوية اليوم، ما نمت زين البارحة، يمكن أريد أرتاح شوية."/>
    <x v="0"/>
    <s v="NA"/>
    <m/>
    <m/>
    <x v="1"/>
    <x v="1"/>
  </r>
  <r>
    <s v="يصير ادفع بجيكات سياحية؟"/>
    <x v="1"/>
    <s v="LEV"/>
    <m/>
    <m/>
    <x v="3"/>
    <x v="1"/>
  </r>
  <r>
    <s v="عليك أن تحجز مقدما ."/>
    <x v="1"/>
    <s v="MSA"/>
    <m/>
    <m/>
    <x v="4"/>
    <x v="0"/>
  </r>
  <r>
    <s v="اشعر بالتعب الشديد . من فضلك استدع طبيباً ."/>
    <x v="2"/>
    <s v="MSA"/>
    <m/>
    <m/>
    <x v="4"/>
    <x v="0"/>
  </r>
  <r>
    <s v="يا شباب، اكو مكان يبيع أثاث مستعمل نظيف؟"/>
    <x v="2"/>
    <s v="IRAQ"/>
    <m/>
    <m/>
    <x v="1"/>
    <x v="0"/>
  </r>
  <r>
    <s v="الحساب من فضلك ."/>
    <x v="1"/>
    <s v="MSA"/>
    <m/>
    <m/>
    <x v="4"/>
    <x v="0"/>
  </r>
  <r>
    <s v="أنا تعبان شوي اليوم، ما نمت منيح الليلة الماضية، يمكن بدي أرتاح شوي."/>
    <x v="0"/>
    <s v="LEV"/>
    <m/>
    <m/>
    <x v="5"/>
    <x v="0"/>
  </r>
  <r>
    <s v="أبا عطرلو ما عليك أمر."/>
    <x v="1"/>
    <s v="LEV"/>
    <m/>
    <m/>
    <x v="3"/>
    <x v="1"/>
  </r>
  <r>
    <s v=" يا ناس، حدا بيعرف إيمتى بتخلص الامتحانات؟ خلص زهقنا من الدراسة."/>
    <x v="0"/>
    <s v="LEV"/>
    <m/>
    <m/>
    <x v="5"/>
    <x v="0"/>
  </r>
  <r>
    <s v="واش هاد القطار كايتوقف فبالتيمور؟"/>
    <x v="2"/>
    <s v="NA"/>
    <m/>
    <m/>
    <x v="0"/>
    <x v="0"/>
  </r>
  <r>
    <s v="رجاءا اكتب عنوانك هوني."/>
    <x v="1"/>
    <s v="LEV"/>
    <m/>
    <m/>
    <x v="1"/>
    <x v="1"/>
  </r>
  <r>
    <s v="يبن عمي، اسمعني دقيقه! "/>
    <x v="1"/>
    <s v="LEV"/>
    <m/>
    <m/>
    <x v="2"/>
    <x v="1"/>
  </r>
  <r>
    <s v="شا اتصل ب واحد."/>
    <x v="1"/>
    <s v="NA"/>
    <m/>
    <m/>
    <x v="2"/>
    <x v="1"/>
  </r>
  <r>
    <s v="على طول لو سمحت ."/>
    <x v="1"/>
    <s v="MSA"/>
    <m/>
    <m/>
    <x v="6"/>
    <x v="1"/>
  </r>
  <r>
    <s v="دير بالك، السقف قصير."/>
    <x v="1"/>
    <s v="LEV"/>
    <m/>
    <m/>
    <x v="5"/>
    <x v="0"/>
  </r>
  <r>
    <s v="إزيكوا يا جماعة؟"/>
    <x v="1"/>
    <s v="NILE"/>
    <m/>
    <m/>
    <x v="6"/>
    <x v="0"/>
  </r>
  <r>
    <s v="وأنا جالس أنقز هنا أستنى"/>
    <x v="1"/>
    <s v="NA"/>
    <m/>
    <m/>
    <x v="2"/>
    <x v="1"/>
  </r>
  <r>
    <s v="حدا بيعرف إيمتى بتخلص الامتحانات؟ "/>
    <x v="2"/>
    <s v="LEV"/>
    <m/>
    <m/>
    <x v="5"/>
    <x v="0"/>
  </r>
  <r>
    <s v="لا أريد شيئاً آخر ، من فضلك ."/>
    <x v="2"/>
    <s v="MSA"/>
    <m/>
    <m/>
    <x v="4"/>
    <x v="0"/>
  </r>
  <r>
    <s v="تركت شنطتي بشي مطرح."/>
    <x v="1"/>
    <s v="LEV"/>
    <m/>
    <m/>
    <x v="5"/>
    <x v="0"/>
  </r>
  <r>
    <s v="لكن التكلفة تزداد , أليس كذلك ؟"/>
    <x v="2"/>
    <s v="MSA"/>
    <m/>
    <m/>
    <x v="4"/>
    <x v="0"/>
  </r>
  <r>
    <s v=" ما شاء الله، الدار الجديدة كبيرة بزاف وواسعة، الله يبارك ليكم فيها."/>
    <x v="0"/>
    <s v="NA"/>
    <m/>
    <m/>
    <x v="0"/>
    <x v="0"/>
  </r>
  <r>
    <s v="مشكور ما قصرت. انا وسيد عبد الله مستانسين ان جينا لندن عشان نجتمع معاك وانت واحد من أهم شركائنا."/>
    <x v="0"/>
    <s v="GULF"/>
    <m/>
    <m/>
    <x v="3"/>
    <x v="0"/>
  </r>
  <r>
    <s v="هل يمكنك أن تقوم بضبطها الآن ؟"/>
    <x v="2"/>
    <s v="MSA"/>
    <m/>
    <m/>
    <x v="4"/>
    <x v="0"/>
  </r>
  <r>
    <s v="اي، بعض الغرف تطل على الحديقة، بس وايد غالية."/>
    <x v="2"/>
    <s v="GULF"/>
    <m/>
    <m/>
    <x v="3"/>
    <x v="0"/>
  </r>
  <r>
    <s v="هاي الغرفة كولش صغيره."/>
    <x v="1"/>
    <s v="IRAQ"/>
    <m/>
    <m/>
    <x v="1"/>
    <x v="0"/>
  </r>
  <r>
    <s v=" جنت أحاول أتصل بيك من الصبح."/>
    <x v="2"/>
    <s v="IRAQ"/>
    <m/>
    <m/>
    <x v="1"/>
    <x v="0"/>
  </r>
  <r>
    <s v="بطني واجعاني شديد"/>
    <x v="1"/>
    <s v="MSA"/>
    <m/>
    <m/>
    <x v="6"/>
    <x v="1"/>
  </r>
  <r>
    <s v="الجو زوين برا"/>
    <x v="1"/>
    <s v="NA"/>
    <m/>
    <m/>
    <x v="0"/>
    <x v="0"/>
  </r>
  <r>
    <s v="شو عم تعمل؟"/>
    <x v="1"/>
    <s v="LEV"/>
    <m/>
    <m/>
    <x v="5"/>
    <x v="0"/>
  </r>
  <r>
    <s v="اشتي العب تنس."/>
    <x v="1"/>
    <s v="GULF"/>
    <m/>
    <m/>
    <x v="2"/>
    <x v="1"/>
  </r>
  <r>
    <s v="بسرعة قبل ما السوق يسدّ."/>
    <x v="1"/>
    <s v="LEV"/>
    <m/>
    <m/>
    <x v="2"/>
    <x v="1"/>
  </r>
  <r>
    <s v="في واحد خبط فيا. وبعديها ملقتش محفظتي."/>
    <x v="2"/>
    <s v="NILE"/>
    <m/>
    <m/>
    <x v="6"/>
    <x v="0"/>
  </r>
  <r>
    <s v="عاوز أعمل لي تأمين."/>
    <x v="1"/>
    <s v="NILE"/>
    <m/>
    <m/>
    <x v="6"/>
    <x v="0"/>
  </r>
  <r>
    <s v="اكو اي ليموزين؟"/>
    <x v="1"/>
    <s v="IRAQ"/>
    <m/>
    <m/>
    <x v="1"/>
    <x v="0"/>
  </r>
  <r>
    <s v="ما يمكنش الواحد ينسى عائلتو و صحابو، خاصنا نتواصلو معاهم ديما ونزوروهم"/>
    <x v="0"/>
    <s v="NA"/>
    <m/>
    <m/>
    <x v="0"/>
    <x v="0"/>
  </r>
  <r>
    <s v="البرفان دة بكام؟"/>
    <x v="1"/>
    <s v="NILE"/>
    <m/>
    <m/>
    <x v="6"/>
    <x v="0"/>
  </r>
  <r>
    <s v="تعال نشرب لنا كاسة شاهي بالحليب ونسمر شوية"/>
    <x v="2"/>
    <s v="LEV"/>
    <m/>
    <m/>
    <x v="2"/>
    <x v="1"/>
  </r>
  <r>
    <s v="بأثر شي اذا دقيتلك بعدين؟"/>
    <x v="1"/>
    <s v="LEV"/>
    <m/>
    <m/>
    <x v="5"/>
    <x v="0"/>
  </r>
  <r>
    <s v="على الساحل الشرقي، حتلاقي كمان أماكن مشهورة، زي نيويورك، وواشنطن دي سي وبوسطن."/>
    <x v="0"/>
    <s v="NILE"/>
    <m/>
    <m/>
    <x v="6"/>
    <x v="0"/>
  </r>
  <r>
    <s v="ازاي أرجع؟"/>
    <x v="1"/>
    <s v="NILE"/>
    <m/>
    <m/>
    <x v="6"/>
    <x v="0"/>
  </r>
  <r>
    <s v="كم من الوقت يبغاله من هنا إلى سيتي مول ؟"/>
    <x v="2"/>
    <s v="GULF"/>
    <m/>
    <m/>
    <x v="3"/>
    <x v="0"/>
  </r>
  <r>
    <s v="أيمكنني أن أبقى ثلاث ليالٍ ؟"/>
    <x v="2"/>
    <s v="MSA"/>
    <m/>
    <m/>
    <x v="4"/>
    <x v="0"/>
  </r>
  <r>
    <s v="بينتسائل أيش أشل منه؟"/>
    <x v="1"/>
    <s v="LEV"/>
    <m/>
    <m/>
    <x v="2"/>
    <x v="1"/>
  </r>
  <r>
    <s v="وين رايحين اليوم ؟"/>
    <x v="1"/>
    <s v="GULF"/>
    <m/>
    <m/>
    <x v="3"/>
    <x v="0"/>
  </r>
  <r>
    <s v="حابب أعمل إتصال لبرات البلد عاليابان."/>
    <x v="2"/>
    <s v="NILE"/>
    <m/>
    <m/>
    <x v="5"/>
    <x v="1"/>
  </r>
  <r>
    <s v=" أنا سمعت باللي المطعم الجديد اللي تحل قريب الماكلة ديالو زوينة بزاف، بغينا نجربوه."/>
    <x v="0"/>
    <s v="NA"/>
    <m/>
    <m/>
    <x v="0"/>
    <x v="0"/>
  </r>
  <r>
    <s v=" سيارتكم اليديدة شكلها وايد حلو."/>
    <x v="2"/>
    <s v="GULF"/>
    <m/>
    <m/>
    <x v="3"/>
    <x v="0"/>
  </r>
  <r>
    <s v="تعرف كيف الناس يجوا مثل الجراد وما يخلو شي وراهم"/>
    <x v="2"/>
    <s v="GULF"/>
    <m/>
    <m/>
    <x v="2"/>
    <x v="1"/>
  </r>
  <r>
    <s v="عايز الهدوم دى تتكوى."/>
    <x v="1"/>
    <s v="NILE"/>
    <m/>
    <m/>
    <x v="6"/>
    <x v="0"/>
  </r>
  <r>
    <s v="دخيلك في عندك اكبر؟"/>
    <x v="1"/>
    <s v="LEV"/>
    <m/>
    <m/>
    <x v="5"/>
    <x v="0"/>
  </r>
  <r>
    <s v="علاش غالي برشة البوكسار هذا؟"/>
    <x v="2"/>
    <s v="NA"/>
    <m/>
    <m/>
    <x v="0"/>
    <x v="0"/>
  </r>
  <r>
    <s v="باش نسافر من اما مطار؟"/>
    <x v="1"/>
    <s v="NA"/>
    <m/>
    <m/>
    <x v="0"/>
    <x v="0"/>
  </r>
  <r>
    <s v="ازيك عامل إيه؟"/>
    <x v="1"/>
    <s v="NILE"/>
    <m/>
    <m/>
    <x v="6"/>
    <x v="0"/>
  </r>
  <r>
    <s v=" أنا عندي موعد مع الطبيب اليوم، خاصني نمشي قبل الموعد بشوية."/>
    <x v="0"/>
    <s v="NA"/>
    <m/>
    <m/>
    <x v="0"/>
    <x v="0"/>
  </r>
  <r>
    <s v="هل يمكن أن أترك هذه العربة خارج الردهة ؟"/>
    <x v="2"/>
    <s v="MSA"/>
    <m/>
    <m/>
    <x v="4"/>
    <x v="0"/>
  </r>
  <r>
    <s v="ممكن تحولي اياهم لدولارات، لو سمحت؟"/>
    <x v="2"/>
    <s v="LEV"/>
    <m/>
    <m/>
    <x v="5"/>
    <x v="0"/>
  </r>
  <r>
    <s v="يا صاحبي، متى با ترد الفلوس؟ ولا تشتيني أنسى الموضوع"/>
    <x v="0"/>
    <s v="LEV"/>
    <m/>
    <m/>
    <x v="2"/>
    <x v="1"/>
  </r>
  <r>
    <s v="أقول لا تسولف بس."/>
    <x v="1"/>
    <s v="GULF"/>
    <m/>
    <m/>
    <x v="3"/>
    <x v="0"/>
  </r>
  <r>
    <s v="أبا مجبوس دياي؟"/>
    <x v="1"/>
    <s v="LEV"/>
    <m/>
    <m/>
    <x v="3"/>
    <x v="1"/>
  </r>
  <r>
    <s v="اكو مطعم قريب هوني؟"/>
    <x v="1"/>
    <s v="IRAQ"/>
    <m/>
    <m/>
    <x v="1"/>
    <x v="0"/>
  </r>
  <r>
    <s v="نعم إنها جميلة بالفعل."/>
    <x v="1"/>
    <s v="MSA"/>
    <m/>
    <m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axis="axisCol" showAll="0" sortType="descending">
      <items count="3">
        <item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8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A13:C17" firstHeaderRow="1" firstDataRow="2" firstDataCol="1"/>
  <pivotFields count="7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19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axis="axisCol" showAll="0" sortType="descending">
      <items count="3">
        <item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8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13:C17" firstHeaderRow="1" firstDataRow="2" firstDataCol="1"/>
  <pivotFields count="7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axis="axisCol" showAll="0" sortType="descending">
      <items count="5">
        <item x="0"/>
        <item x="1"/>
        <item m="1" x="3"/>
        <item m="1" x="2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13:C17" firstHeaderRow="1" firstDataRow="2" firstDataCol="1"/>
  <pivotFields count="7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 sortType="descending">
      <items count="5">
        <item x="0"/>
        <item x="1"/>
        <item m="1" x="3"/>
        <item m="1" x="2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C17"/>
  <sheetViews>
    <sheetView tabSelected="1" zoomScale="78" workbookViewId="0">
      <selection activeCell="H8" sqref="H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6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546</v>
      </c>
      <c r="C4" s="18" t="s">
        <v>260</v>
      </c>
    </row>
    <row r="5" spans="1:3" x14ac:dyDescent="0.3">
      <c r="A5" s="15" t="s">
        <v>77</v>
      </c>
      <c r="B5" s="16">
        <v>13</v>
      </c>
      <c r="C5" s="16">
        <v>17</v>
      </c>
    </row>
    <row r="6" spans="1:3" x14ac:dyDescent="0.3">
      <c r="A6" s="15" t="s">
        <v>80</v>
      </c>
      <c r="B6" s="16">
        <v>16</v>
      </c>
      <c r="C6" s="16">
        <v>14</v>
      </c>
    </row>
    <row r="7" spans="1:3" x14ac:dyDescent="0.3">
      <c r="A7" s="15" t="s">
        <v>79</v>
      </c>
      <c r="B7" s="16">
        <v>29</v>
      </c>
      <c r="C7" s="16">
        <v>1</v>
      </c>
    </row>
    <row r="8" spans="1:3" x14ac:dyDescent="0.3">
      <c r="A8" s="15" t="s">
        <v>76</v>
      </c>
      <c r="B8" s="16">
        <v>29</v>
      </c>
      <c r="C8" s="16">
        <v>1</v>
      </c>
    </row>
    <row r="9" spans="1:3" x14ac:dyDescent="0.3">
      <c r="A9" s="15" t="s">
        <v>252</v>
      </c>
      <c r="B9" s="16">
        <v>15</v>
      </c>
      <c r="C9" s="16">
        <v>15</v>
      </c>
    </row>
    <row r="10" spans="1:3" x14ac:dyDescent="0.3">
      <c r="A10" s="15" t="s">
        <v>81</v>
      </c>
      <c r="B10" s="16">
        <v>18</v>
      </c>
      <c r="C10" s="16">
        <v>12</v>
      </c>
    </row>
    <row r="11" spans="1:3" x14ac:dyDescent="0.3">
      <c r="A11" s="15" t="s">
        <v>82</v>
      </c>
      <c r="B11" s="16">
        <v>13</v>
      </c>
      <c r="C11" s="16">
        <v>17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546</v>
      </c>
      <c r="C14" s="18" t="s">
        <v>260</v>
      </c>
    </row>
    <row r="15" spans="1:3" x14ac:dyDescent="0.3">
      <c r="A15" s="15" t="s">
        <v>256</v>
      </c>
      <c r="B15" s="16">
        <v>11</v>
      </c>
      <c r="C15" s="16">
        <v>7</v>
      </c>
    </row>
    <row r="16" spans="1:3" x14ac:dyDescent="0.3">
      <c r="A16" s="15" t="s">
        <v>257</v>
      </c>
      <c r="B16" s="16">
        <v>60</v>
      </c>
      <c r="C16" s="16">
        <v>36</v>
      </c>
    </row>
    <row r="17" spans="1:3" x14ac:dyDescent="0.3">
      <c r="A17" s="15" t="s">
        <v>258</v>
      </c>
      <c r="B17" s="16">
        <v>62</v>
      </c>
      <c r="C17" s="16">
        <v>34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C17"/>
  <sheetViews>
    <sheetView zoomScale="78" workbookViewId="0">
      <selection activeCell="N15" sqref="N15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6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546</v>
      </c>
      <c r="C4" s="18" t="s">
        <v>260</v>
      </c>
    </row>
    <row r="5" spans="1:3" x14ac:dyDescent="0.3">
      <c r="A5" s="15" t="s">
        <v>77</v>
      </c>
      <c r="B5" s="16">
        <v>15</v>
      </c>
      <c r="C5" s="16">
        <v>5</v>
      </c>
    </row>
    <row r="6" spans="1:3" x14ac:dyDescent="0.3">
      <c r="A6" s="15" t="s">
        <v>80</v>
      </c>
      <c r="B6" s="16">
        <v>9</v>
      </c>
      <c r="C6" s="16">
        <v>11</v>
      </c>
    </row>
    <row r="7" spans="1:3" x14ac:dyDescent="0.3">
      <c r="A7" s="15" t="s">
        <v>79</v>
      </c>
      <c r="B7" s="16">
        <v>15</v>
      </c>
      <c r="C7" s="16">
        <v>5</v>
      </c>
    </row>
    <row r="8" spans="1:3" x14ac:dyDescent="0.3">
      <c r="A8" s="15" t="s">
        <v>76</v>
      </c>
      <c r="B8" s="16">
        <v>20</v>
      </c>
      <c r="C8" s="16"/>
    </row>
    <row r="9" spans="1:3" x14ac:dyDescent="0.3">
      <c r="A9" s="15" t="s">
        <v>252</v>
      </c>
      <c r="B9" s="16">
        <v>13</v>
      </c>
      <c r="C9" s="16">
        <v>7</v>
      </c>
    </row>
    <row r="10" spans="1:3" x14ac:dyDescent="0.3">
      <c r="A10" s="15" t="s">
        <v>81</v>
      </c>
      <c r="B10" s="16">
        <v>17</v>
      </c>
      <c r="C10" s="16">
        <v>3</v>
      </c>
    </row>
    <row r="11" spans="1:3" x14ac:dyDescent="0.3">
      <c r="A11" s="15" t="s">
        <v>82</v>
      </c>
      <c r="B11" s="16">
        <v>1</v>
      </c>
      <c r="C11" s="16">
        <v>19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546</v>
      </c>
      <c r="C14" s="18" t="s">
        <v>260</v>
      </c>
    </row>
    <row r="15" spans="1:3" x14ac:dyDescent="0.3">
      <c r="A15" s="15" t="s">
        <v>256</v>
      </c>
      <c r="B15" s="16">
        <v>11</v>
      </c>
      <c r="C15" s="16">
        <v>12</v>
      </c>
    </row>
    <row r="16" spans="1:3" x14ac:dyDescent="0.3">
      <c r="A16" s="15" t="s">
        <v>257</v>
      </c>
      <c r="B16" s="16">
        <v>38</v>
      </c>
      <c r="C16" s="16">
        <v>13</v>
      </c>
    </row>
    <row r="17" spans="1:3" x14ac:dyDescent="0.3">
      <c r="A17" s="15" t="s">
        <v>258</v>
      </c>
      <c r="B17" s="16">
        <v>41</v>
      </c>
      <c r="C17" s="16">
        <v>25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C17"/>
  <sheetViews>
    <sheetView zoomScale="92" workbookViewId="0">
      <selection activeCell="C21" sqref="C21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6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546</v>
      </c>
      <c r="C4" s="18" t="s">
        <v>260</v>
      </c>
    </row>
    <row r="5" spans="1:3" x14ac:dyDescent="0.3">
      <c r="A5" s="15" t="s">
        <v>77</v>
      </c>
      <c r="B5" s="16">
        <v>6</v>
      </c>
      <c r="C5" s="16">
        <v>4</v>
      </c>
    </row>
    <row r="6" spans="1:3" x14ac:dyDescent="0.3">
      <c r="A6" s="15" t="s">
        <v>80</v>
      </c>
      <c r="B6" s="16">
        <v>7</v>
      </c>
      <c r="C6" s="16">
        <v>3</v>
      </c>
    </row>
    <row r="7" spans="1:3" x14ac:dyDescent="0.3">
      <c r="A7" s="15" t="s">
        <v>79</v>
      </c>
      <c r="B7" s="16">
        <v>9</v>
      </c>
      <c r="C7" s="16">
        <v>1</v>
      </c>
    </row>
    <row r="8" spans="1:3" x14ac:dyDescent="0.3">
      <c r="A8" s="15" t="s">
        <v>76</v>
      </c>
      <c r="B8" s="16">
        <v>10</v>
      </c>
      <c r="C8" s="16"/>
    </row>
    <row r="9" spans="1:3" x14ac:dyDescent="0.3">
      <c r="A9" s="15" t="s">
        <v>252</v>
      </c>
      <c r="B9" s="16">
        <v>10</v>
      </c>
      <c r="C9" s="16"/>
    </row>
    <row r="10" spans="1:3" x14ac:dyDescent="0.3">
      <c r="A10" s="15" t="s">
        <v>81</v>
      </c>
      <c r="B10" s="16">
        <v>8</v>
      </c>
      <c r="C10" s="16">
        <v>2</v>
      </c>
    </row>
    <row r="11" spans="1:3" x14ac:dyDescent="0.3">
      <c r="A11" s="15" t="s">
        <v>82</v>
      </c>
      <c r="B11" s="16"/>
      <c r="C11" s="16">
        <v>10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546</v>
      </c>
      <c r="C14" s="18" t="s">
        <v>260</v>
      </c>
    </row>
    <row r="15" spans="1:3" x14ac:dyDescent="0.3">
      <c r="A15" s="15" t="s">
        <v>256</v>
      </c>
      <c r="B15" s="16">
        <v>10</v>
      </c>
      <c r="C15" s="16">
        <v>5</v>
      </c>
    </row>
    <row r="16" spans="1:3" x14ac:dyDescent="0.3">
      <c r="A16" s="15" t="s">
        <v>257</v>
      </c>
      <c r="B16" s="16">
        <v>18</v>
      </c>
      <c r="C16" s="16">
        <v>3</v>
      </c>
    </row>
    <row r="17" spans="1:3" x14ac:dyDescent="0.3">
      <c r="A17" s="15" t="s">
        <v>258</v>
      </c>
      <c r="B17" s="16">
        <v>22</v>
      </c>
      <c r="C17" s="16">
        <v>12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N71"/>
  <sheetViews>
    <sheetView topLeftCell="I1" zoomScale="87" workbookViewId="0">
      <selection activeCell="L2" sqref="L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20" bestFit="1" customWidth="1"/>
    <col min="5" max="6" width="13.77734375" style="20" customWidth="1"/>
    <col min="7" max="7" width="13.6640625" style="1" bestFit="1" customWidth="1"/>
    <col min="8" max="8" width="10.44140625" style="1" bestFit="1" customWidth="1"/>
    <col min="9" max="9" width="8.88671875" style="1"/>
    <col min="10" max="10" width="16.44140625" style="1" bestFit="1" customWidth="1"/>
    <col min="11" max="11" width="14.44140625" style="1" bestFit="1" customWidth="1"/>
    <col min="12" max="12" width="12.5546875" style="1" bestFit="1" customWidth="1"/>
    <col min="13" max="13" width="20.5546875" style="1" bestFit="1" customWidth="1"/>
    <col min="14" max="14" width="17.33203125" style="1" bestFit="1" customWidth="1"/>
    <col min="15" max="16384" width="8.88671875" style="1"/>
  </cols>
  <sheetData>
    <row r="1" spans="1:14" x14ac:dyDescent="0.3">
      <c r="A1" s="1" t="s">
        <v>75</v>
      </c>
      <c r="B1" s="2" t="s">
        <v>74</v>
      </c>
      <c r="C1" s="2" t="s">
        <v>244</v>
      </c>
      <c r="D1" s="20" t="s">
        <v>511</v>
      </c>
      <c r="E1" s="20" t="s">
        <v>510</v>
      </c>
      <c r="F1" s="20" t="s">
        <v>512</v>
      </c>
      <c r="G1" s="2" t="s">
        <v>259</v>
      </c>
      <c r="H1" s="1" t="s">
        <v>3</v>
      </c>
      <c r="J1" s="1" t="s">
        <v>84</v>
      </c>
      <c r="K1" s="1" t="s">
        <v>85</v>
      </c>
      <c r="L1" s="1" t="s">
        <v>86</v>
      </c>
    </row>
    <row r="2" spans="1:14" x14ac:dyDescent="0.3">
      <c r="A2" s="1">
        <v>1</v>
      </c>
      <c r="B2" s="17" t="s">
        <v>261</v>
      </c>
      <c r="C2" s="1" t="str" cm="1">
        <f t="array" ref="C2">_xlfn.IFS(LEN(B2) &lt;= 25, "Short", AND(LEN(B2) &gt; 25, LEN(B2) &lt;= 50), "Medium", LEN(B2) &gt; 50, "Long")</f>
        <v>Long</v>
      </c>
      <c r="D2" s="22" t="s">
        <v>252</v>
      </c>
      <c r="E2" s="18"/>
      <c r="F2" s="18"/>
      <c r="G2" s="17" t="s">
        <v>252</v>
      </c>
      <c r="H2" s="1" t="b">
        <f>IF(OR(D2=G2, E2=G2, F2=G2), TRUE, FALSE)</f>
        <v>1</v>
      </c>
      <c r="J2" s="1">
        <f>COUNTA(B2:B71)</f>
        <v>70</v>
      </c>
      <c r="K2" s="1">
        <f>COUNTIF(H2:H71, TRUE)</f>
        <v>50</v>
      </c>
      <c r="L2" s="4">
        <f>(K2/J2)</f>
        <v>0.7142857142857143</v>
      </c>
    </row>
    <row r="3" spans="1:14" x14ac:dyDescent="0.3">
      <c r="A3" s="1">
        <v>2</v>
      </c>
      <c r="B3" s="17" t="s">
        <v>262</v>
      </c>
      <c r="C3" s="12" t="str" cm="1">
        <f t="array" ref="C3">_xlfn.IFS(LEN(B3) &lt;= 25, "Short", AND(LEN(B3) &gt; 25, LEN(B3) &lt;= 50), "Medium", LEN(B3) &gt; 50, "Long")</f>
        <v>Long</v>
      </c>
      <c r="D3" s="22" t="s">
        <v>79</v>
      </c>
      <c r="E3" s="18"/>
      <c r="F3" s="18"/>
      <c r="G3" s="17" t="s">
        <v>80</v>
      </c>
      <c r="H3" s="13" t="b">
        <f t="shared" ref="H3:H34" si="0">IF(D3=G3, TRUE, FALSE)</f>
        <v>0</v>
      </c>
      <c r="N3" s="5"/>
    </row>
    <row r="4" spans="1:14" x14ac:dyDescent="0.3">
      <c r="A4" s="1">
        <v>3</v>
      </c>
      <c r="B4" s="17" t="s">
        <v>263</v>
      </c>
      <c r="C4" s="12" t="str" cm="1">
        <f t="array" ref="C4">_xlfn.IFS(LEN(B4) &lt;= 25, "Short", AND(LEN(B4) &gt; 25, LEN(B4) &lt;= 50), "Medium", LEN(B4) &gt; 50, "Long")</f>
        <v>Long</v>
      </c>
      <c r="D4" s="22" t="s">
        <v>79</v>
      </c>
      <c r="E4" s="18"/>
      <c r="F4" s="18"/>
      <c r="G4" s="17" t="s">
        <v>82</v>
      </c>
      <c r="H4" s="13" t="b">
        <f t="shared" si="0"/>
        <v>0</v>
      </c>
      <c r="J4" s="25" t="s">
        <v>237</v>
      </c>
      <c r="K4" s="25"/>
      <c r="L4" s="25"/>
      <c r="M4" s="25"/>
    </row>
    <row r="5" spans="1:14" x14ac:dyDescent="0.3">
      <c r="A5" s="1">
        <v>4</v>
      </c>
      <c r="B5" s="17" t="s">
        <v>264</v>
      </c>
      <c r="C5" s="12" t="str" cm="1">
        <f t="array" ref="C5">_xlfn.IFS(LEN(B5) &lt;= 25, "Short", AND(LEN(B5) &gt; 25, LEN(B5) &lt;= 50), "Medium", LEN(B5) &gt; 50, "Long")</f>
        <v>Long</v>
      </c>
      <c r="D5" s="22" t="s">
        <v>80</v>
      </c>
      <c r="E5" s="18"/>
      <c r="F5" s="18"/>
      <c r="G5" s="17" t="s">
        <v>80</v>
      </c>
      <c r="H5" s="13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4" x14ac:dyDescent="0.3">
      <c r="A6" s="1">
        <v>5</v>
      </c>
      <c r="B6" s="17" t="s">
        <v>265</v>
      </c>
      <c r="C6" s="12" t="str" cm="1">
        <f t="array" ref="C6">_xlfn.IFS(LEN(B6) &lt;= 25, "Short", AND(LEN(B6) &gt; 25, LEN(B6) &lt;= 50), "Medium", LEN(B6) &gt; 50, "Long")</f>
        <v>Short</v>
      </c>
      <c r="D6" s="22" t="s">
        <v>80</v>
      </c>
      <c r="E6" s="18"/>
      <c r="F6" s="18"/>
      <c r="G6" s="17" t="s">
        <v>80</v>
      </c>
      <c r="H6" s="13" t="b">
        <f t="shared" si="0"/>
        <v>1</v>
      </c>
      <c r="J6" s="1" t="s">
        <v>252</v>
      </c>
      <c r="K6" s="1">
        <f>COUNTIF($G$2:$G$71,J6)</f>
        <v>10</v>
      </c>
      <c r="L6" s="1">
        <f t="shared" ref="L6:L12" si="1">COUNTIFS($G$2:$G$71, J6, $D$2:$D$71, J6)</f>
        <v>10</v>
      </c>
      <c r="M6" s="3">
        <f>L6/K6</f>
        <v>1</v>
      </c>
    </row>
    <row r="7" spans="1:14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D7" s="22" t="s">
        <v>252</v>
      </c>
      <c r="E7" s="18"/>
      <c r="F7" s="18"/>
      <c r="G7" s="17" t="s">
        <v>252</v>
      </c>
      <c r="H7" s="13" t="b">
        <f t="shared" si="0"/>
        <v>1</v>
      </c>
      <c r="J7" s="1" t="s">
        <v>81</v>
      </c>
      <c r="K7" s="1">
        <f t="shared" ref="K7:K12" si="2">COUNTIF($G$2:$G$71,J7)</f>
        <v>10</v>
      </c>
      <c r="L7" s="1">
        <f t="shared" si="1"/>
        <v>8</v>
      </c>
      <c r="M7" s="3">
        <f t="shared" ref="M7:M12" si="3">L7/K7</f>
        <v>0.8</v>
      </c>
    </row>
    <row r="8" spans="1:14" x14ac:dyDescent="0.3">
      <c r="A8" s="1">
        <v>7</v>
      </c>
      <c r="B8" s="17" t="s">
        <v>266</v>
      </c>
      <c r="C8" s="12" t="str" cm="1">
        <f t="array" ref="C8">_xlfn.IFS(LEN(B8) &lt;= 25, "Short", AND(LEN(B8) &gt; 25, LEN(B8) &lt;= 50), "Medium", LEN(B8) &gt; 50, "Long")</f>
        <v>Long</v>
      </c>
      <c r="D8" s="22" t="s">
        <v>79</v>
      </c>
      <c r="E8" s="18"/>
      <c r="F8" s="18"/>
      <c r="G8" s="17" t="s">
        <v>77</v>
      </c>
      <c r="H8" s="13" t="b">
        <f t="shared" si="0"/>
        <v>0</v>
      </c>
      <c r="J8" s="1" t="s">
        <v>79</v>
      </c>
      <c r="K8" s="1">
        <f t="shared" si="2"/>
        <v>10</v>
      </c>
      <c r="L8" s="1">
        <f t="shared" si="1"/>
        <v>9</v>
      </c>
      <c r="M8" s="3">
        <f t="shared" si="3"/>
        <v>0.9</v>
      </c>
    </row>
    <row r="9" spans="1:14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D9" s="22" t="s">
        <v>76</v>
      </c>
      <c r="E9" s="18"/>
      <c r="F9" s="18"/>
      <c r="G9" s="17" t="s">
        <v>76</v>
      </c>
      <c r="H9" s="13" t="b">
        <f t="shared" si="0"/>
        <v>1</v>
      </c>
      <c r="J9" s="1" t="s">
        <v>77</v>
      </c>
      <c r="K9" s="1">
        <f t="shared" si="2"/>
        <v>10</v>
      </c>
      <c r="L9" s="1">
        <f t="shared" si="1"/>
        <v>6</v>
      </c>
      <c r="M9" s="3">
        <f t="shared" si="3"/>
        <v>0.6</v>
      </c>
    </row>
    <row r="10" spans="1:14" x14ac:dyDescent="0.3">
      <c r="A10" s="1">
        <v>9</v>
      </c>
      <c r="B10" s="17" t="s">
        <v>267</v>
      </c>
      <c r="C10" s="12" t="str" cm="1">
        <f t="array" ref="C10">_xlfn.IFS(LEN(B10) &lt;= 25, "Short", AND(LEN(B10) &gt; 25, LEN(B10) &lt;= 50), "Medium", LEN(B10) &gt; 50, "Long")</f>
        <v>Long</v>
      </c>
      <c r="D10" s="22" t="s">
        <v>252</v>
      </c>
      <c r="E10" s="18"/>
      <c r="F10" s="18"/>
      <c r="G10" s="17" t="s">
        <v>80</v>
      </c>
      <c r="H10" s="13" t="b">
        <f t="shared" si="0"/>
        <v>0</v>
      </c>
      <c r="J10" s="1" t="s">
        <v>82</v>
      </c>
      <c r="K10" s="1">
        <f t="shared" si="2"/>
        <v>10</v>
      </c>
      <c r="L10" s="1">
        <f t="shared" si="1"/>
        <v>0</v>
      </c>
      <c r="M10" s="3">
        <f t="shared" si="3"/>
        <v>0</v>
      </c>
    </row>
    <row r="11" spans="1:14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22" t="s">
        <v>79</v>
      </c>
      <c r="E11" s="18"/>
      <c r="F11" s="18"/>
      <c r="G11" s="17" t="s">
        <v>77</v>
      </c>
      <c r="H11" s="13" t="b">
        <f t="shared" si="0"/>
        <v>0</v>
      </c>
      <c r="J11" s="1" t="s">
        <v>80</v>
      </c>
      <c r="K11" s="1">
        <f t="shared" si="2"/>
        <v>10</v>
      </c>
      <c r="L11" s="1">
        <f t="shared" si="1"/>
        <v>7</v>
      </c>
      <c r="M11" s="3">
        <f t="shared" si="3"/>
        <v>0.7</v>
      </c>
    </row>
    <row r="12" spans="1:14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22" t="s">
        <v>76</v>
      </c>
      <c r="E12" s="18"/>
      <c r="F12" s="18"/>
      <c r="G12" s="17" t="s">
        <v>76</v>
      </c>
      <c r="H12" s="13" t="b">
        <f t="shared" si="0"/>
        <v>1</v>
      </c>
      <c r="J12" s="1" t="s">
        <v>76</v>
      </c>
      <c r="K12" s="1">
        <f t="shared" si="2"/>
        <v>10</v>
      </c>
      <c r="L12" s="1">
        <f t="shared" si="1"/>
        <v>10</v>
      </c>
      <c r="M12" s="3">
        <f t="shared" si="3"/>
        <v>1</v>
      </c>
    </row>
    <row r="13" spans="1:14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22" t="s">
        <v>76</v>
      </c>
      <c r="E13" s="18"/>
      <c r="F13" s="18"/>
      <c r="G13" s="17" t="s">
        <v>76</v>
      </c>
      <c r="H13" s="13" t="b">
        <f t="shared" si="0"/>
        <v>1</v>
      </c>
    </row>
    <row r="14" spans="1:14" x14ac:dyDescent="0.3">
      <c r="A14" s="1">
        <v>13</v>
      </c>
      <c r="B14" s="17" t="s">
        <v>268</v>
      </c>
      <c r="C14" s="12" t="str" cm="1">
        <f t="array" ref="C14">_xlfn.IFS(LEN(B14) &lt;= 25, "Short", AND(LEN(B14) &gt; 25, LEN(B14) &lt;= 50), "Medium", LEN(B14) &gt; 50, "Long")</f>
        <v>Medium</v>
      </c>
      <c r="D14" s="22" t="s">
        <v>80</v>
      </c>
      <c r="E14" s="18"/>
      <c r="F14" s="18"/>
      <c r="G14" s="17" t="s">
        <v>80</v>
      </c>
      <c r="H14" s="13" t="b">
        <f t="shared" si="0"/>
        <v>1</v>
      </c>
      <c r="J14" s="1" t="s">
        <v>240</v>
      </c>
      <c r="K14" s="1" t="s">
        <v>238</v>
      </c>
      <c r="L14" s="1" t="s">
        <v>239</v>
      </c>
      <c r="M14" s="1" t="s">
        <v>83</v>
      </c>
    </row>
    <row r="15" spans="1:14" x14ac:dyDescent="0.3">
      <c r="A15" s="1">
        <v>14</v>
      </c>
      <c r="B15" s="17" t="s">
        <v>269</v>
      </c>
      <c r="C15" s="12" t="str" cm="1">
        <f t="array" ref="C15">_xlfn.IFS(LEN(B15) &lt;= 25, "Short", AND(LEN(B15) &gt; 25, LEN(B15) &lt;= 50), "Medium", LEN(B15) &gt; 50, "Long")</f>
        <v>Short</v>
      </c>
      <c r="D15" s="22" t="s">
        <v>76</v>
      </c>
      <c r="E15" s="18"/>
      <c r="F15" s="18"/>
      <c r="G15" s="17" t="s">
        <v>76</v>
      </c>
      <c r="H15" s="13" t="b">
        <f t="shared" si="0"/>
        <v>1</v>
      </c>
      <c r="J15" s="1" t="s">
        <v>258</v>
      </c>
      <c r="K15" s="1">
        <f>COUNTIF(C2:C71, "Short")</f>
        <v>34</v>
      </c>
      <c r="L15" s="1">
        <f>COUNTIFS(C2:C71, "Short", H2:H71, TRUE)</f>
        <v>22</v>
      </c>
      <c r="M15" s="4">
        <f>L15/K15</f>
        <v>0.6470588235294118</v>
      </c>
    </row>
    <row r="16" spans="1:14" x14ac:dyDescent="0.3">
      <c r="A16" s="1">
        <v>15</v>
      </c>
      <c r="B16" s="17" t="s">
        <v>270</v>
      </c>
      <c r="C16" s="12" t="str" cm="1">
        <f t="array" ref="C16">_xlfn.IFS(LEN(B16) &lt;= 25, "Short", AND(LEN(B16) &gt; 25, LEN(B16) &lt;= 50), "Medium", LEN(B16) &gt; 50, "Long")</f>
        <v>Long</v>
      </c>
      <c r="D16" s="22" t="s">
        <v>79</v>
      </c>
      <c r="E16" s="18"/>
      <c r="F16" s="18"/>
      <c r="G16" s="17" t="s">
        <v>79</v>
      </c>
      <c r="H16" s="13" t="b">
        <f t="shared" si="0"/>
        <v>1</v>
      </c>
      <c r="J16" s="1" t="s">
        <v>257</v>
      </c>
      <c r="K16" s="6">
        <f>COUNTIF(C2:C71, "Medium")</f>
        <v>21</v>
      </c>
      <c r="L16" s="1">
        <f>COUNTIFS(C2:C71, "Medium", H2:H71, TRUE)</f>
        <v>18</v>
      </c>
      <c r="M16" s="4">
        <f t="shared" ref="M16:M17" si="4">L16/K16</f>
        <v>0.8571428571428571</v>
      </c>
    </row>
    <row r="17" spans="1:13" x14ac:dyDescent="0.3">
      <c r="A17" s="1">
        <v>16</v>
      </c>
      <c r="B17" s="17" t="s">
        <v>271</v>
      </c>
      <c r="C17" s="12" t="str" cm="1">
        <f t="array" ref="C17">_xlfn.IFS(LEN(B17) &lt;= 25, "Short", AND(LEN(B17) &gt; 25, LEN(B17) &lt;= 50), "Medium", LEN(B17) &gt; 50, "Long")</f>
        <v>Short</v>
      </c>
      <c r="D17" s="22" t="s">
        <v>79</v>
      </c>
      <c r="E17" s="18"/>
      <c r="F17" s="18"/>
      <c r="G17" s="17" t="s">
        <v>77</v>
      </c>
      <c r="H17" s="13" t="b">
        <f t="shared" si="0"/>
        <v>0</v>
      </c>
      <c r="J17" s="1" t="s">
        <v>256</v>
      </c>
      <c r="K17" s="1">
        <f>COUNTIF(C2:C71, "Long")</f>
        <v>15</v>
      </c>
      <c r="L17" s="1">
        <f>COUNTIFS(C2:C71, "Long", H2:H71, TRUE)</f>
        <v>10</v>
      </c>
      <c r="M17" s="4">
        <f t="shared" si="4"/>
        <v>0.66666666666666663</v>
      </c>
    </row>
    <row r="18" spans="1:13" x14ac:dyDescent="0.3">
      <c r="A18" s="1">
        <v>17</v>
      </c>
      <c r="B18" s="17" t="s">
        <v>272</v>
      </c>
      <c r="C18" s="12" t="str" cm="1">
        <f t="array" ref="C18">_xlfn.IFS(LEN(B18) &lt;= 25, "Short", AND(LEN(B18) &gt; 25, LEN(B18) &lt;= 50), "Medium", LEN(B18) &gt; 50, "Long")</f>
        <v>Long</v>
      </c>
      <c r="D18" s="22" t="s">
        <v>79</v>
      </c>
      <c r="E18" s="18"/>
      <c r="F18" s="18"/>
      <c r="G18" s="17" t="s">
        <v>79</v>
      </c>
      <c r="H18" s="13" t="b">
        <f t="shared" si="0"/>
        <v>1</v>
      </c>
    </row>
    <row r="19" spans="1:13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22" t="s">
        <v>252</v>
      </c>
      <c r="E19" s="18"/>
      <c r="F19" s="18"/>
      <c r="G19" s="17" t="s">
        <v>252</v>
      </c>
      <c r="H19" s="13" t="b">
        <f t="shared" si="0"/>
        <v>1</v>
      </c>
      <c r="J19" s="25" t="s">
        <v>247</v>
      </c>
      <c r="K19" s="25"/>
      <c r="L19"/>
      <c r="M19"/>
    </row>
    <row r="20" spans="1:13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22" t="s">
        <v>79</v>
      </c>
      <c r="E20" s="18"/>
      <c r="F20" s="18"/>
      <c r="G20" s="17" t="s">
        <v>80</v>
      </c>
      <c r="H20" s="13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20</v>
      </c>
      <c r="B21" s="17" t="s">
        <v>273</v>
      </c>
      <c r="C21" s="12" t="str" cm="1">
        <f t="array" ref="C21">_xlfn.IFS(LEN(B21) &lt;= 25, "Short", AND(LEN(B21) &gt; 25, LEN(B21) &lt;= 50), "Medium", LEN(B21) &gt; 50, "Long")</f>
        <v>Short</v>
      </c>
      <c r="D21" s="22" t="s">
        <v>79</v>
      </c>
      <c r="E21" s="18"/>
      <c r="F21" s="18"/>
      <c r="G21" s="17" t="s">
        <v>82</v>
      </c>
      <c r="H21" s="13" t="b">
        <f t="shared" si="0"/>
        <v>0</v>
      </c>
      <c r="J21" s="9" t="s">
        <v>80</v>
      </c>
      <c r="K21" s="9" t="s">
        <v>77</v>
      </c>
      <c r="L21" s="7">
        <f t="shared" ref="L21:L32" si="5">COUNTIFS($D$2:$D$71, K21, $G$2:$G$71, J21)</f>
        <v>0</v>
      </c>
      <c r="M21" s="10">
        <f>L21/K11</f>
        <v>0</v>
      </c>
    </row>
    <row r="22" spans="1:13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22" t="s">
        <v>252</v>
      </c>
      <c r="E22" s="18"/>
      <c r="F22" s="18"/>
      <c r="G22" s="17" t="s">
        <v>82</v>
      </c>
      <c r="H22" s="13" t="b">
        <f t="shared" si="0"/>
        <v>0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x14ac:dyDescent="0.3">
      <c r="A23" s="1">
        <v>22</v>
      </c>
      <c r="B23" s="17" t="s">
        <v>274</v>
      </c>
      <c r="C23" s="12" t="str" cm="1">
        <f t="array" ref="C23">_xlfn.IFS(LEN(B23) &lt;= 25, "Short", AND(LEN(B23) &gt; 25, LEN(B23) &lt;= 50), "Medium", LEN(B23) &gt; 50, "Long")</f>
        <v>Short</v>
      </c>
      <c r="D23" s="22" t="s">
        <v>76</v>
      </c>
      <c r="E23" s="18"/>
      <c r="F23" s="18"/>
      <c r="G23" s="17" t="s">
        <v>81</v>
      </c>
      <c r="H23" s="13" t="b">
        <f t="shared" si="0"/>
        <v>0</v>
      </c>
      <c r="J23" s="9" t="s">
        <v>77</v>
      </c>
      <c r="K23" s="9" t="s">
        <v>80</v>
      </c>
      <c r="L23" s="7">
        <f t="shared" si="5"/>
        <v>0</v>
      </c>
      <c r="M23" s="10">
        <f>L23/K9</f>
        <v>0</v>
      </c>
    </row>
    <row r="24" spans="1:13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22" t="s">
        <v>79</v>
      </c>
      <c r="E24" s="18"/>
      <c r="F24" s="18"/>
      <c r="G24" s="17" t="s">
        <v>79</v>
      </c>
      <c r="H24" s="13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24</v>
      </c>
      <c r="B25" s="17" t="s">
        <v>275</v>
      </c>
      <c r="C25" s="12" t="str" cm="1">
        <f t="array" ref="C25">_xlfn.IFS(LEN(B25) &lt;= 25, "Short", AND(LEN(B25) &gt; 25, LEN(B25) &lt;= 50), "Medium", LEN(B25) &gt; 50, "Long")</f>
        <v>Short</v>
      </c>
      <c r="D25" s="22" t="s">
        <v>81</v>
      </c>
      <c r="E25" s="18"/>
      <c r="F25" s="18"/>
      <c r="G25" s="17" t="s">
        <v>81</v>
      </c>
      <c r="H25" s="13" t="b">
        <f t="shared" si="0"/>
        <v>1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25</v>
      </c>
      <c r="B26" s="17" t="s">
        <v>276</v>
      </c>
      <c r="C26" s="12" t="str" cm="1">
        <f t="array" ref="C26">_xlfn.IFS(LEN(B26) &lt;= 25, "Short", AND(LEN(B26) &gt; 25, LEN(B26) &lt;= 50), "Medium", LEN(B26) &gt; 50, "Long")</f>
        <v>Short</v>
      </c>
      <c r="D26" s="22" t="s">
        <v>252</v>
      </c>
      <c r="E26" s="18"/>
      <c r="F26" s="18"/>
      <c r="G26" s="17" t="s">
        <v>82</v>
      </c>
      <c r="H26" s="13" t="b">
        <f t="shared" si="0"/>
        <v>0</v>
      </c>
      <c r="J26" s="9" t="s">
        <v>81</v>
      </c>
      <c r="K26" s="9" t="s">
        <v>252</v>
      </c>
      <c r="L26" s="7">
        <f t="shared" si="5"/>
        <v>0</v>
      </c>
      <c r="M26" s="10">
        <f>L26/K7</f>
        <v>0</v>
      </c>
    </row>
    <row r="27" spans="1:13" x14ac:dyDescent="0.3">
      <c r="A27" s="1">
        <v>26</v>
      </c>
      <c r="B27" s="17" t="s">
        <v>277</v>
      </c>
      <c r="C27" s="12" t="str" cm="1">
        <f t="array" ref="C27">_xlfn.IFS(LEN(B27) &lt;= 25, "Short", AND(LEN(B27) &gt; 25, LEN(B27) &lt;= 50), "Medium", LEN(B27) &gt; 50, "Long")</f>
        <v>Medium</v>
      </c>
      <c r="D27" s="22" t="s">
        <v>79</v>
      </c>
      <c r="E27" s="18"/>
      <c r="F27" s="18"/>
      <c r="G27" s="17" t="s">
        <v>79</v>
      </c>
      <c r="H27" s="13" t="b">
        <f t="shared" si="0"/>
        <v>1</v>
      </c>
      <c r="J27" s="1" t="s">
        <v>80</v>
      </c>
      <c r="K27" s="1" t="s">
        <v>245</v>
      </c>
      <c r="L27" s="1">
        <f t="shared" si="5"/>
        <v>0</v>
      </c>
      <c r="M27" s="10">
        <f>L27/K11</f>
        <v>0</v>
      </c>
    </row>
    <row r="28" spans="1:13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22" t="s">
        <v>76</v>
      </c>
      <c r="E28" s="18"/>
      <c r="F28" s="18"/>
      <c r="G28" s="17" t="s">
        <v>76</v>
      </c>
      <c r="H28" s="13" t="b">
        <f t="shared" si="0"/>
        <v>1</v>
      </c>
      <c r="J28" s="1" t="s">
        <v>245</v>
      </c>
      <c r="K28" s="1" t="s">
        <v>80</v>
      </c>
      <c r="L28" s="1">
        <f t="shared" si="5"/>
        <v>0</v>
      </c>
      <c r="M28" s="10">
        <f>L28/K10</f>
        <v>0</v>
      </c>
    </row>
    <row r="29" spans="1:13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22" t="s">
        <v>79</v>
      </c>
      <c r="E29" s="18"/>
      <c r="F29" s="18"/>
      <c r="G29" s="17" t="s">
        <v>79</v>
      </c>
      <c r="H29" s="13" t="b">
        <f t="shared" si="0"/>
        <v>1</v>
      </c>
      <c r="J29" s="1" t="s">
        <v>76</v>
      </c>
      <c r="K29" s="1" t="s">
        <v>245</v>
      </c>
      <c r="L29" s="1">
        <f t="shared" si="5"/>
        <v>0</v>
      </c>
      <c r="M29" s="10">
        <f>L29/K12</f>
        <v>0</v>
      </c>
    </row>
    <row r="30" spans="1:13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22" t="s">
        <v>76</v>
      </c>
      <c r="E30" s="18"/>
      <c r="F30" s="18"/>
      <c r="G30" s="17" t="s">
        <v>76</v>
      </c>
      <c r="H30" s="13" t="b">
        <f t="shared" si="0"/>
        <v>1</v>
      </c>
      <c r="J30" s="1" t="s">
        <v>245</v>
      </c>
      <c r="K30" s="1" t="s">
        <v>76</v>
      </c>
      <c r="L30" s="1">
        <f t="shared" si="5"/>
        <v>0</v>
      </c>
      <c r="M30" s="10">
        <f>L30/K10</f>
        <v>0</v>
      </c>
    </row>
    <row r="31" spans="1:13" x14ac:dyDescent="0.3">
      <c r="A31" s="1">
        <v>30</v>
      </c>
      <c r="B31" s="17" t="s">
        <v>278</v>
      </c>
      <c r="C31" s="12" t="str" cm="1">
        <f t="array" ref="C31">_xlfn.IFS(LEN(B31) &lt;= 25, "Short", AND(LEN(B31) &gt; 25, LEN(B31) &lt;= 50), "Medium", LEN(B31) &gt; 50, "Long")</f>
        <v>Long</v>
      </c>
      <c r="D31" s="22" t="s">
        <v>252</v>
      </c>
      <c r="E31" s="18"/>
      <c r="F31" s="18"/>
      <c r="G31" s="17" t="s">
        <v>252</v>
      </c>
      <c r="H31" s="13" t="b">
        <f t="shared" si="0"/>
        <v>1</v>
      </c>
      <c r="J31" s="1" t="s">
        <v>76</v>
      </c>
      <c r="K31" s="1" t="s">
        <v>80</v>
      </c>
      <c r="L31" s="1">
        <f t="shared" si="5"/>
        <v>0</v>
      </c>
      <c r="M31" s="10">
        <f>L31/K12</f>
        <v>0</v>
      </c>
    </row>
    <row r="32" spans="1:13" x14ac:dyDescent="0.3">
      <c r="A32" s="1">
        <v>31</v>
      </c>
      <c r="B32" s="17" t="s">
        <v>279</v>
      </c>
      <c r="C32" s="12" t="str" cm="1">
        <f t="array" ref="C32">_xlfn.IFS(LEN(B32) &lt;= 25, "Short", AND(LEN(B32) &gt; 25, LEN(B32) &lt;= 50), "Medium", LEN(B32) &gt; 50, "Long")</f>
        <v>Long</v>
      </c>
      <c r="D32" s="22" t="s">
        <v>77</v>
      </c>
      <c r="E32" s="18"/>
      <c r="F32" s="18"/>
      <c r="G32" s="17" t="s">
        <v>77</v>
      </c>
      <c r="H32" s="13" t="b">
        <f t="shared" si="0"/>
        <v>1</v>
      </c>
      <c r="J32" s="1" t="s">
        <v>80</v>
      </c>
      <c r="K32" s="1" t="s">
        <v>76</v>
      </c>
      <c r="L32" s="1">
        <f t="shared" si="5"/>
        <v>0</v>
      </c>
      <c r="M32" s="10">
        <f>L32/K11</f>
        <v>0</v>
      </c>
    </row>
    <row r="33" spans="1:8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22" t="s">
        <v>76</v>
      </c>
      <c r="E33" s="18"/>
      <c r="F33" s="18"/>
      <c r="G33" s="17" t="s">
        <v>76</v>
      </c>
      <c r="H33" s="13" t="b">
        <f t="shared" si="0"/>
        <v>1</v>
      </c>
    </row>
    <row r="34" spans="1:8" x14ac:dyDescent="0.3">
      <c r="A34" s="1">
        <v>33</v>
      </c>
      <c r="B34" s="17" t="s">
        <v>280</v>
      </c>
      <c r="C34" s="12" t="str" cm="1">
        <f t="array" ref="C34">_xlfn.IFS(LEN(B34) &lt;= 25, "Short", AND(LEN(B34) &gt; 25, LEN(B34) &lt;= 50), "Medium", LEN(B34) &gt; 50, "Long")</f>
        <v>Medium</v>
      </c>
      <c r="D34" s="22" t="s">
        <v>77</v>
      </c>
      <c r="E34" s="18"/>
      <c r="F34" s="18"/>
      <c r="G34" s="17" t="s">
        <v>77</v>
      </c>
      <c r="H34" s="13" t="b">
        <f t="shared" si="0"/>
        <v>1</v>
      </c>
    </row>
    <row r="35" spans="1:8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22" t="s">
        <v>80</v>
      </c>
      <c r="E35" s="18"/>
      <c r="F35" s="18"/>
      <c r="G35" s="17" t="s">
        <v>80</v>
      </c>
      <c r="H35" s="13" t="b">
        <f t="shared" ref="H35:H66" si="6">IF(D35=G35, TRUE, FALSE)</f>
        <v>1</v>
      </c>
    </row>
    <row r="36" spans="1:8" x14ac:dyDescent="0.3">
      <c r="A36" s="1">
        <v>35</v>
      </c>
      <c r="B36" s="17" t="s">
        <v>281</v>
      </c>
      <c r="C36" s="12" t="str" cm="1">
        <f t="array" ref="C36">_xlfn.IFS(LEN(B36) &lt;= 25, "Short", AND(LEN(B36) &gt; 25, LEN(B36) &lt;= 50), "Medium", LEN(B36) &gt; 50, "Long")</f>
        <v>Medium</v>
      </c>
      <c r="D36" s="22" t="s">
        <v>80</v>
      </c>
      <c r="E36" s="18"/>
      <c r="F36" s="18"/>
      <c r="G36" s="17" t="s">
        <v>80</v>
      </c>
      <c r="H36" s="13" t="b">
        <f t="shared" si="6"/>
        <v>1</v>
      </c>
    </row>
    <row r="37" spans="1:8" x14ac:dyDescent="0.3">
      <c r="A37" s="1">
        <v>36</v>
      </c>
      <c r="B37" s="17" t="s">
        <v>282</v>
      </c>
      <c r="C37" s="12" t="str" cm="1">
        <f t="array" ref="C37">_xlfn.IFS(LEN(B37) &lt;= 25, "Short", AND(LEN(B37) &gt; 25, LEN(B37) &lt;= 50), "Medium", LEN(B37) &gt; 50, "Long")</f>
        <v>Short</v>
      </c>
      <c r="D37" s="22" t="s">
        <v>76</v>
      </c>
      <c r="E37" s="18"/>
      <c r="F37" s="18"/>
      <c r="G37" s="17" t="s">
        <v>81</v>
      </c>
      <c r="H37" s="13" t="b">
        <f t="shared" si="6"/>
        <v>0</v>
      </c>
    </row>
    <row r="38" spans="1:8" x14ac:dyDescent="0.3">
      <c r="A38" s="1">
        <v>37</v>
      </c>
      <c r="B38" s="17" t="s">
        <v>283</v>
      </c>
      <c r="C38" s="12" t="str" cm="1">
        <f t="array" ref="C38">_xlfn.IFS(LEN(B38) &lt;= 25, "Short", AND(LEN(B38) &gt; 25, LEN(B38) &lt;= 50), "Medium", LEN(B38) &gt; 50, "Long")</f>
        <v>Short</v>
      </c>
      <c r="D38" s="22" t="s">
        <v>252</v>
      </c>
      <c r="E38" s="18"/>
      <c r="F38" s="18"/>
      <c r="G38" s="17" t="s">
        <v>252</v>
      </c>
      <c r="H38" s="13" t="b">
        <f t="shared" si="6"/>
        <v>1</v>
      </c>
    </row>
    <row r="39" spans="1:8" x14ac:dyDescent="0.3">
      <c r="A39" s="1">
        <v>38</v>
      </c>
      <c r="B39" s="17" t="s">
        <v>284</v>
      </c>
      <c r="C39" s="12" t="str" cm="1">
        <f t="array" ref="C39">_xlfn.IFS(LEN(B39) &lt;= 25, "Short", AND(LEN(B39) &gt; 25, LEN(B39) &lt;= 50), "Medium", LEN(B39) &gt; 50, "Long")</f>
        <v>Short</v>
      </c>
      <c r="D39" s="22" t="s">
        <v>79</v>
      </c>
      <c r="E39" s="18"/>
      <c r="F39" s="18"/>
      <c r="G39" s="17" t="s">
        <v>79</v>
      </c>
      <c r="H39" s="13" t="b">
        <f t="shared" si="6"/>
        <v>1</v>
      </c>
    </row>
    <row r="40" spans="1:8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22" t="s">
        <v>77</v>
      </c>
      <c r="E40" s="18"/>
      <c r="F40" s="18"/>
      <c r="G40" s="17" t="s">
        <v>82</v>
      </c>
      <c r="H40" s="13" t="b">
        <f t="shared" si="6"/>
        <v>0</v>
      </c>
    </row>
    <row r="41" spans="1:8" x14ac:dyDescent="0.3">
      <c r="A41" s="1">
        <v>40</v>
      </c>
      <c r="B41" s="17" t="s">
        <v>285</v>
      </c>
      <c r="C41" s="12" t="str" cm="1">
        <f t="array" ref="C41">_xlfn.IFS(LEN(B41) &lt;= 25, "Short", AND(LEN(B41) &gt; 25, LEN(B41) &lt;= 50), "Medium", LEN(B41) &gt; 50, "Long")</f>
        <v>Short</v>
      </c>
      <c r="D41" s="22" t="s">
        <v>79</v>
      </c>
      <c r="E41" s="18"/>
      <c r="F41" s="18"/>
      <c r="G41" s="17" t="s">
        <v>82</v>
      </c>
      <c r="H41" s="13" t="b">
        <f t="shared" si="6"/>
        <v>0</v>
      </c>
    </row>
    <row r="42" spans="1:8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22" t="s">
        <v>81</v>
      </c>
      <c r="E42" s="18"/>
      <c r="F42" s="18"/>
      <c r="G42" s="17" t="s">
        <v>81</v>
      </c>
      <c r="H42" s="13" t="b">
        <f t="shared" si="6"/>
        <v>1</v>
      </c>
    </row>
    <row r="43" spans="1:8" x14ac:dyDescent="0.3">
      <c r="A43" s="1">
        <v>42</v>
      </c>
      <c r="B43" s="17" t="s">
        <v>286</v>
      </c>
      <c r="C43" s="12" t="str" cm="1">
        <f t="array" ref="C43">_xlfn.IFS(LEN(B43) &lt;= 25, "Short", AND(LEN(B43) &gt; 25, LEN(B43) &lt;= 50), "Medium", LEN(B43) &gt; 50, "Long")</f>
        <v>Short</v>
      </c>
      <c r="D43" s="22" t="s">
        <v>81</v>
      </c>
      <c r="E43" s="18"/>
      <c r="F43" s="18"/>
      <c r="G43" s="17" t="s">
        <v>81</v>
      </c>
      <c r="H43" s="13" t="b">
        <f t="shared" si="6"/>
        <v>1</v>
      </c>
    </row>
    <row r="44" spans="1:8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22" t="s">
        <v>80</v>
      </c>
      <c r="E44" s="18"/>
      <c r="F44" s="18"/>
      <c r="G44" s="17" t="s">
        <v>80</v>
      </c>
      <c r="H44" s="13" t="b">
        <f t="shared" si="6"/>
        <v>1</v>
      </c>
    </row>
    <row r="45" spans="1:8" x14ac:dyDescent="0.3">
      <c r="A45" s="1">
        <v>44</v>
      </c>
      <c r="B45" s="17" t="s">
        <v>287</v>
      </c>
      <c r="C45" s="12" t="str" cm="1">
        <f t="array" ref="C45">_xlfn.IFS(LEN(B45) &lt;= 25, "Short", AND(LEN(B45) &gt; 25, LEN(B45) &lt;= 50), "Medium", LEN(B45) &gt; 50, "Long")</f>
        <v>Long</v>
      </c>
      <c r="D45" s="22" t="s">
        <v>252</v>
      </c>
      <c r="E45" s="18"/>
      <c r="F45" s="18"/>
      <c r="G45" s="17" t="s">
        <v>252</v>
      </c>
      <c r="H45" s="13" t="b">
        <f t="shared" si="6"/>
        <v>1</v>
      </c>
    </row>
    <row r="46" spans="1:8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22" t="s">
        <v>81</v>
      </c>
      <c r="E46" s="18"/>
      <c r="F46" s="18"/>
      <c r="G46" s="17" t="s">
        <v>81</v>
      </c>
      <c r="H46" s="13" t="b">
        <f t="shared" si="6"/>
        <v>1</v>
      </c>
    </row>
    <row r="47" spans="1:8" x14ac:dyDescent="0.3">
      <c r="A47" s="1">
        <v>46</v>
      </c>
      <c r="B47" s="17" t="s">
        <v>288</v>
      </c>
      <c r="C47" s="12" t="str" cm="1">
        <f t="array" ref="C47">_xlfn.IFS(LEN(B47) &lt;= 25, "Short", AND(LEN(B47) &gt; 25, LEN(B47) &lt;= 50), "Medium", LEN(B47) &gt; 50, "Long")</f>
        <v>Medium</v>
      </c>
      <c r="D47" s="22" t="s">
        <v>79</v>
      </c>
      <c r="E47" s="18"/>
      <c r="F47" s="18"/>
      <c r="G47" s="17" t="s">
        <v>82</v>
      </c>
      <c r="H47" s="13" t="b">
        <f t="shared" si="6"/>
        <v>0</v>
      </c>
    </row>
    <row r="48" spans="1:8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22" t="s">
        <v>79</v>
      </c>
      <c r="E48" s="18"/>
      <c r="F48" s="18"/>
      <c r="G48" s="17" t="s">
        <v>79</v>
      </c>
      <c r="H48" s="13" t="b">
        <f t="shared" si="6"/>
        <v>1</v>
      </c>
    </row>
    <row r="49" spans="1:8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22" t="s">
        <v>81</v>
      </c>
      <c r="E49" s="18"/>
      <c r="F49" s="18"/>
      <c r="G49" s="17" t="s">
        <v>81</v>
      </c>
      <c r="H49" s="13" t="b">
        <f t="shared" si="6"/>
        <v>1</v>
      </c>
    </row>
    <row r="50" spans="1:8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22" t="s">
        <v>81</v>
      </c>
      <c r="E50" s="18"/>
      <c r="F50" s="18"/>
      <c r="G50" s="17" t="s">
        <v>81</v>
      </c>
      <c r="H50" s="13" t="b">
        <f t="shared" si="6"/>
        <v>1</v>
      </c>
    </row>
    <row r="51" spans="1:8" x14ac:dyDescent="0.3">
      <c r="A51" s="1">
        <v>50</v>
      </c>
      <c r="B51" s="17" t="s">
        <v>289</v>
      </c>
      <c r="C51" s="12" t="str" cm="1">
        <f t="array" ref="C51">_xlfn.IFS(LEN(B51) &lt;= 25, "Short", AND(LEN(B51) &gt; 25, LEN(B51) &lt;= 50), "Medium", LEN(B51) &gt; 50, "Long")</f>
        <v>Medium</v>
      </c>
      <c r="D51" s="22" t="s">
        <v>77</v>
      </c>
      <c r="E51" s="18"/>
      <c r="F51" s="18"/>
      <c r="G51" s="17" t="s">
        <v>77</v>
      </c>
      <c r="H51" s="13" t="b">
        <f t="shared" si="6"/>
        <v>1</v>
      </c>
    </row>
    <row r="52" spans="1:8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22" t="s">
        <v>76</v>
      </c>
      <c r="E52" s="18"/>
      <c r="F52" s="18"/>
      <c r="G52" s="17" t="s">
        <v>76</v>
      </c>
      <c r="H52" s="13" t="b">
        <f t="shared" si="6"/>
        <v>1</v>
      </c>
    </row>
    <row r="53" spans="1:8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22" t="s">
        <v>79</v>
      </c>
      <c r="E53" s="18"/>
      <c r="F53" s="18"/>
      <c r="G53" s="17" t="s">
        <v>82</v>
      </c>
      <c r="H53" s="13" t="b">
        <f t="shared" si="6"/>
        <v>0</v>
      </c>
    </row>
    <row r="54" spans="1:8" x14ac:dyDescent="0.3">
      <c r="A54" s="1">
        <v>53</v>
      </c>
      <c r="B54" s="17" t="s">
        <v>290</v>
      </c>
      <c r="C54" s="12" t="str" cm="1">
        <f t="array" ref="C54">_xlfn.IFS(LEN(B54) &lt;= 25, "Short", AND(LEN(B54) &gt; 25, LEN(B54) &lt;= 50), "Medium", LEN(B54) &gt; 50, "Long")</f>
        <v>Short</v>
      </c>
      <c r="D54" s="22" t="s">
        <v>77</v>
      </c>
      <c r="E54" s="18"/>
      <c r="F54" s="18"/>
      <c r="G54" s="17" t="s">
        <v>77</v>
      </c>
      <c r="H54" s="13" t="b">
        <f t="shared" si="6"/>
        <v>1</v>
      </c>
    </row>
    <row r="55" spans="1:8" x14ac:dyDescent="0.3">
      <c r="A55" s="1">
        <v>54</v>
      </c>
      <c r="B55" s="17" t="s">
        <v>291</v>
      </c>
      <c r="C55" s="12" t="str" cm="1">
        <f t="array" ref="C55">_xlfn.IFS(LEN(B55) &lt;= 25, "Short", AND(LEN(B55) &gt; 25, LEN(B55) &lt;= 50), "Medium", LEN(B55) &gt; 50, "Long")</f>
        <v>Medium</v>
      </c>
      <c r="D55" s="22" t="s">
        <v>81</v>
      </c>
      <c r="E55" s="18"/>
      <c r="F55" s="18"/>
      <c r="G55" s="17" t="s">
        <v>79</v>
      </c>
      <c r="H55" s="13" t="b">
        <f t="shared" si="6"/>
        <v>0</v>
      </c>
    </row>
    <row r="56" spans="1:8" x14ac:dyDescent="0.3">
      <c r="A56" s="1">
        <v>55</v>
      </c>
      <c r="B56" s="17" t="s">
        <v>292</v>
      </c>
      <c r="C56" s="12" t="str" cm="1">
        <f t="array" ref="C56">_xlfn.IFS(LEN(B56) &lt;= 25, "Short", AND(LEN(B56) &gt; 25, LEN(B56) &lt;= 50), "Medium", LEN(B56) &gt; 50, "Long")</f>
        <v>Long</v>
      </c>
      <c r="D56" s="22" t="s">
        <v>252</v>
      </c>
      <c r="E56" s="18"/>
      <c r="F56" s="18"/>
      <c r="G56" s="17" t="s">
        <v>252</v>
      </c>
      <c r="H56" s="13" t="b">
        <f t="shared" si="6"/>
        <v>1</v>
      </c>
    </row>
    <row r="57" spans="1:8" x14ac:dyDescent="0.3">
      <c r="A57" s="1">
        <v>56</v>
      </c>
      <c r="B57" s="17" t="s">
        <v>293</v>
      </c>
      <c r="C57" s="12" t="str" cm="1">
        <f t="array" ref="C57">_xlfn.IFS(LEN(B57) &lt;= 25, "Short", AND(LEN(B57) &gt; 25, LEN(B57) &lt;= 50), "Medium", LEN(B57) &gt; 50, "Long")</f>
        <v>Medium</v>
      </c>
      <c r="D57" s="22" t="s">
        <v>77</v>
      </c>
      <c r="E57" s="18"/>
      <c r="F57" s="18"/>
      <c r="G57" s="17" t="s">
        <v>77</v>
      </c>
      <c r="H57" s="13" t="b">
        <f t="shared" si="6"/>
        <v>1</v>
      </c>
    </row>
    <row r="58" spans="1:8" x14ac:dyDescent="0.3">
      <c r="A58" s="1">
        <v>57</v>
      </c>
      <c r="B58" s="17" t="s">
        <v>294</v>
      </c>
      <c r="C58" s="12" t="str" cm="1">
        <f t="array" ref="C58">_xlfn.IFS(LEN(B58) &lt;= 25, "Short", AND(LEN(B58) &gt; 25, LEN(B58) &lt;= 50), "Medium", LEN(B58) &gt; 50, "Long")</f>
        <v>Medium</v>
      </c>
      <c r="D58" s="22" t="s">
        <v>77</v>
      </c>
      <c r="E58" s="18"/>
      <c r="F58" s="18"/>
      <c r="G58" s="17" t="s">
        <v>82</v>
      </c>
      <c r="H58" s="13" t="b">
        <f t="shared" si="6"/>
        <v>0</v>
      </c>
    </row>
    <row r="59" spans="1:8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22" t="s">
        <v>81</v>
      </c>
      <c r="E59" s="18"/>
      <c r="F59" s="18"/>
      <c r="G59" s="17" t="s">
        <v>81</v>
      </c>
      <c r="H59" s="13" t="b">
        <f t="shared" si="6"/>
        <v>1</v>
      </c>
    </row>
    <row r="60" spans="1:8" x14ac:dyDescent="0.3">
      <c r="A60" s="1">
        <v>59</v>
      </c>
      <c r="B60" s="17" t="s">
        <v>295</v>
      </c>
      <c r="C60" s="12" t="str" cm="1">
        <f t="array" ref="C60">_xlfn.IFS(LEN(B60) &lt;= 25, "Short", AND(LEN(B60) &gt; 25, LEN(B60) &lt;= 50), "Medium", LEN(B60) &gt; 50, "Long")</f>
        <v>Short</v>
      </c>
      <c r="D60" s="22" t="s">
        <v>79</v>
      </c>
      <c r="E60" s="18"/>
      <c r="F60" s="18"/>
      <c r="G60" s="17" t="s">
        <v>79</v>
      </c>
      <c r="H60" s="13" t="b">
        <f t="shared" si="6"/>
        <v>1</v>
      </c>
    </row>
    <row r="61" spans="1:8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22" t="s">
        <v>252</v>
      </c>
      <c r="E61" s="18"/>
      <c r="F61" s="18"/>
      <c r="G61" s="17" t="s">
        <v>252</v>
      </c>
      <c r="H61" s="13" t="b">
        <f t="shared" si="6"/>
        <v>1</v>
      </c>
    </row>
    <row r="62" spans="1:8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22" t="s">
        <v>252</v>
      </c>
      <c r="E62" s="18"/>
      <c r="F62" s="18"/>
      <c r="G62" s="17" t="s">
        <v>252</v>
      </c>
      <c r="H62" s="13" t="b">
        <f t="shared" si="6"/>
        <v>1</v>
      </c>
    </row>
    <row r="63" spans="1:8" x14ac:dyDescent="0.3">
      <c r="A63" s="1">
        <v>62</v>
      </c>
      <c r="B63" s="17" t="s">
        <v>296</v>
      </c>
      <c r="C63" s="12" t="str" cm="1">
        <f t="array" ref="C63">_xlfn.IFS(LEN(B63) &lt;= 25, "Short", AND(LEN(B63) &gt; 25, LEN(B63) &lt;= 50), "Medium", LEN(B63) &gt; 50, "Long")</f>
        <v>Short</v>
      </c>
      <c r="D63" s="22" t="s">
        <v>81</v>
      </c>
      <c r="E63" s="18"/>
      <c r="F63" s="18"/>
      <c r="G63" s="17" t="s">
        <v>81</v>
      </c>
      <c r="H63" s="13" t="b">
        <f t="shared" si="6"/>
        <v>1</v>
      </c>
    </row>
    <row r="64" spans="1:8" x14ac:dyDescent="0.3">
      <c r="A64" s="1">
        <v>63</v>
      </c>
      <c r="B64" s="17" t="s">
        <v>297</v>
      </c>
      <c r="C64" s="12" t="str" cm="1">
        <f t="array" ref="C64">_xlfn.IFS(LEN(B64) &lt;= 25, "Short", AND(LEN(B64) &gt; 25, LEN(B64) &lt;= 50), "Medium", LEN(B64) &gt; 50, "Long")</f>
        <v>Long</v>
      </c>
      <c r="D64" s="22" t="s">
        <v>252</v>
      </c>
      <c r="E64" s="18"/>
      <c r="F64" s="18"/>
      <c r="G64" s="17" t="s">
        <v>252</v>
      </c>
      <c r="H64" s="13" t="b">
        <f t="shared" si="6"/>
        <v>1</v>
      </c>
    </row>
    <row r="65" spans="1:8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22" t="s">
        <v>76</v>
      </c>
      <c r="E65" s="18"/>
      <c r="F65" s="18"/>
      <c r="G65" s="17" t="s">
        <v>76</v>
      </c>
      <c r="H65" s="13" t="b">
        <f t="shared" si="6"/>
        <v>1</v>
      </c>
    </row>
    <row r="66" spans="1:8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22" t="s">
        <v>79</v>
      </c>
      <c r="E66" s="18"/>
      <c r="F66" s="18"/>
      <c r="G66" s="17" t="s">
        <v>79</v>
      </c>
      <c r="H66" s="13" t="b">
        <f t="shared" si="6"/>
        <v>1</v>
      </c>
    </row>
    <row r="67" spans="1:8" x14ac:dyDescent="0.3">
      <c r="A67" s="1">
        <v>66</v>
      </c>
      <c r="B67" s="17" t="s">
        <v>298</v>
      </c>
      <c r="C67" s="12" t="str" cm="1">
        <f t="array" ref="C67">_xlfn.IFS(LEN(B67) &lt;= 25, "Short", AND(LEN(B67) &gt; 25, LEN(B67) &lt;= 50), "Medium", LEN(B67) &gt; 50, "Long")</f>
        <v>Long</v>
      </c>
      <c r="D67" s="22" t="s">
        <v>79</v>
      </c>
      <c r="E67" s="18"/>
      <c r="F67" s="18"/>
      <c r="G67" s="17" t="s">
        <v>82</v>
      </c>
      <c r="H67" s="13" t="b">
        <f t="shared" ref="H67:H71" si="7">IF(D67=G67, TRUE, FALSE)</f>
        <v>0</v>
      </c>
    </row>
    <row r="68" spans="1:8" x14ac:dyDescent="0.3">
      <c r="A68" s="1">
        <v>67</v>
      </c>
      <c r="B68" s="17" t="s">
        <v>299</v>
      </c>
      <c r="C68" s="12" t="str" cm="1">
        <f t="array" ref="C68">_xlfn.IFS(LEN(B68) &lt;= 25, "Short", AND(LEN(B68) &gt; 25, LEN(B68) &lt;= 50), "Medium", LEN(B68) &gt; 50, "Long")</f>
        <v>Short</v>
      </c>
      <c r="D68" s="22" t="s">
        <v>77</v>
      </c>
      <c r="E68" s="18"/>
      <c r="F68" s="18"/>
      <c r="G68" s="17" t="s">
        <v>77</v>
      </c>
      <c r="H68" s="13" t="b">
        <f t="shared" si="7"/>
        <v>1</v>
      </c>
    </row>
    <row r="69" spans="1:8" x14ac:dyDescent="0.3">
      <c r="A69" s="1">
        <v>68</v>
      </c>
      <c r="B69" s="17" t="s">
        <v>300</v>
      </c>
      <c r="C69" s="12" t="str" cm="1">
        <f t="array" ref="C69">_xlfn.IFS(LEN(B69) &lt;= 25, "Short", AND(LEN(B69) &gt; 25, LEN(B69) &lt;= 50), "Medium", LEN(B69) &gt; 50, "Long")</f>
        <v>Short</v>
      </c>
      <c r="D69" s="22" t="s">
        <v>79</v>
      </c>
      <c r="E69" s="18"/>
      <c r="F69" s="18"/>
      <c r="G69" s="17" t="s">
        <v>77</v>
      </c>
      <c r="H69" s="13" t="b">
        <f t="shared" si="7"/>
        <v>0</v>
      </c>
    </row>
    <row r="70" spans="1:8" x14ac:dyDescent="0.3">
      <c r="A70" s="1">
        <v>69</v>
      </c>
      <c r="B70" s="17" t="s">
        <v>301</v>
      </c>
      <c r="C70" s="12" t="str" cm="1">
        <f t="array" ref="C70">_xlfn.IFS(LEN(B70) &lt;= 25, "Short", AND(LEN(B70) &gt; 25, LEN(B70) &lt;= 50), "Medium", LEN(B70) &gt; 50, "Long")</f>
        <v>Short</v>
      </c>
      <c r="D70" s="22" t="s">
        <v>80</v>
      </c>
      <c r="E70" s="18"/>
      <c r="F70" s="18"/>
      <c r="G70" s="17" t="s">
        <v>80</v>
      </c>
      <c r="H70" s="13" t="b">
        <f t="shared" si="7"/>
        <v>1</v>
      </c>
    </row>
    <row r="71" spans="1:8" x14ac:dyDescent="0.3">
      <c r="A71" s="1">
        <v>70</v>
      </c>
      <c r="B71" s="17" t="s">
        <v>302</v>
      </c>
      <c r="C71" s="12" t="str" cm="1">
        <f t="array" ref="C71">_xlfn.IFS(LEN(B71) &lt;= 25, "Short", AND(LEN(B71) &gt; 25, LEN(B71) &lt;= 50), "Medium", LEN(B71) &gt; 50, "Long")</f>
        <v>Short</v>
      </c>
      <c r="D71" s="22" t="s">
        <v>76</v>
      </c>
      <c r="E71" s="18"/>
      <c r="F71" s="18"/>
      <c r="G71" s="17" t="s">
        <v>76</v>
      </c>
      <c r="H71" s="13" t="b">
        <f t="shared" si="7"/>
        <v>1</v>
      </c>
    </row>
  </sheetData>
  <autoFilter ref="G1:G71" xr:uid="{2C8EDE29-A1DB-48E9-9706-9032415B1651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C860-B03C-4A70-983E-AF1FB674797A}">
  <dimension ref="A1:E71"/>
  <sheetViews>
    <sheetView workbookViewId="0">
      <selection activeCell="C71" sqref="C2:C71"/>
    </sheetView>
  </sheetViews>
  <sheetFormatPr defaultRowHeight="14.4" x14ac:dyDescent="0.3"/>
  <cols>
    <col min="1" max="1" width="4.77734375" bestFit="1" customWidth="1"/>
    <col min="2" max="2" width="70.44140625" bestFit="1" customWidth="1"/>
    <col min="3" max="5" width="13.6640625" bestFit="1" customWidth="1"/>
  </cols>
  <sheetData>
    <row r="1" spans="1:5" x14ac:dyDescent="0.3">
      <c r="A1" s="21" t="s">
        <v>75</v>
      </c>
      <c r="B1" s="21" t="s">
        <v>74</v>
      </c>
      <c r="C1" s="21" t="s">
        <v>513</v>
      </c>
      <c r="D1" s="21" t="s">
        <v>514</v>
      </c>
      <c r="E1" s="21" t="s">
        <v>515</v>
      </c>
    </row>
    <row r="2" spans="1:5" x14ac:dyDescent="0.3">
      <c r="A2" s="22">
        <v>1</v>
      </c>
      <c r="B2" s="22" t="s">
        <v>261</v>
      </c>
      <c r="C2" s="22" t="s">
        <v>252</v>
      </c>
      <c r="D2" s="22"/>
      <c r="E2" s="22"/>
    </row>
    <row r="3" spans="1:5" x14ac:dyDescent="0.3">
      <c r="A3" s="22">
        <v>2</v>
      </c>
      <c r="B3" s="22" t="s">
        <v>262</v>
      </c>
      <c r="C3" s="22" t="s">
        <v>79</v>
      </c>
      <c r="D3" s="22"/>
      <c r="E3" s="22"/>
    </row>
    <row r="4" spans="1:5" x14ac:dyDescent="0.3">
      <c r="A4" s="22">
        <v>3</v>
      </c>
      <c r="B4" s="22" t="s">
        <v>263</v>
      </c>
      <c r="C4" s="22" t="s">
        <v>79</v>
      </c>
      <c r="D4" s="22"/>
      <c r="E4" s="22"/>
    </row>
    <row r="5" spans="1:5" x14ac:dyDescent="0.3">
      <c r="A5" s="22">
        <v>4</v>
      </c>
      <c r="B5" s="22" t="s">
        <v>516</v>
      </c>
      <c r="C5" s="22" t="s">
        <v>80</v>
      </c>
      <c r="D5" s="22"/>
      <c r="E5" s="22"/>
    </row>
    <row r="6" spans="1:5" x14ac:dyDescent="0.3">
      <c r="A6" s="22">
        <v>5</v>
      </c>
      <c r="B6" s="22" t="s">
        <v>265</v>
      </c>
      <c r="C6" s="22" t="s">
        <v>80</v>
      </c>
      <c r="D6" s="22"/>
      <c r="E6" s="22"/>
    </row>
    <row r="7" spans="1:5" x14ac:dyDescent="0.3">
      <c r="A7" s="22">
        <v>6</v>
      </c>
      <c r="B7" s="22" t="s">
        <v>9</v>
      </c>
      <c r="C7" s="22" t="s">
        <v>252</v>
      </c>
      <c r="D7" s="22"/>
      <c r="E7" s="22"/>
    </row>
    <row r="8" spans="1:5" x14ac:dyDescent="0.3">
      <c r="A8" s="22">
        <v>7</v>
      </c>
      <c r="B8" s="22" t="s">
        <v>266</v>
      </c>
      <c r="C8" s="22" t="s">
        <v>79</v>
      </c>
      <c r="D8" s="22"/>
      <c r="E8" s="22"/>
    </row>
    <row r="9" spans="1:5" x14ac:dyDescent="0.3">
      <c r="A9" s="22">
        <v>8</v>
      </c>
      <c r="B9" s="22" t="s">
        <v>11</v>
      </c>
      <c r="C9" s="22" t="s">
        <v>76</v>
      </c>
      <c r="D9" s="22"/>
      <c r="E9" s="22"/>
    </row>
    <row r="10" spans="1:5" x14ac:dyDescent="0.3">
      <c r="A10" s="22">
        <v>9</v>
      </c>
      <c r="B10" s="22" t="s">
        <v>267</v>
      </c>
      <c r="C10" s="22" t="s">
        <v>252</v>
      </c>
      <c r="D10" s="22"/>
      <c r="E10" s="22"/>
    </row>
    <row r="11" spans="1:5" x14ac:dyDescent="0.3">
      <c r="A11" s="22">
        <v>10</v>
      </c>
      <c r="B11" s="22" t="s">
        <v>13</v>
      </c>
      <c r="C11" s="22" t="s">
        <v>79</v>
      </c>
      <c r="D11" s="22"/>
      <c r="E11" s="22"/>
    </row>
    <row r="12" spans="1:5" x14ac:dyDescent="0.3">
      <c r="A12" s="22">
        <v>11</v>
      </c>
      <c r="B12" s="22" t="s">
        <v>14</v>
      </c>
      <c r="C12" s="22" t="s">
        <v>76</v>
      </c>
      <c r="D12" s="22"/>
      <c r="E12" s="22"/>
    </row>
    <row r="13" spans="1:5" x14ac:dyDescent="0.3">
      <c r="A13" s="22">
        <v>12</v>
      </c>
      <c r="B13" s="22" t="s">
        <v>15</v>
      </c>
      <c r="C13" s="22" t="s">
        <v>76</v>
      </c>
      <c r="D13" s="22"/>
      <c r="E13" s="22"/>
    </row>
    <row r="14" spans="1:5" x14ac:dyDescent="0.3">
      <c r="A14" s="22">
        <v>13</v>
      </c>
      <c r="B14" s="22" t="s">
        <v>268</v>
      </c>
      <c r="C14" s="22" t="s">
        <v>80</v>
      </c>
      <c r="D14" s="22"/>
      <c r="E14" s="22"/>
    </row>
    <row r="15" spans="1:5" x14ac:dyDescent="0.3">
      <c r="A15" s="22">
        <v>14</v>
      </c>
      <c r="B15" s="22" t="s">
        <v>269</v>
      </c>
      <c r="C15" s="22" t="s">
        <v>76</v>
      </c>
      <c r="D15" s="22"/>
      <c r="E15" s="22"/>
    </row>
    <row r="16" spans="1:5" x14ac:dyDescent="0.3">
      <c r="A16" s="22">
        <v>15</v>
      </c>
      <c r="B16" s="22" t="s">
        <v>270</v>
      </c>
      <c r="C16" s="22" t="s">
        <v>79</v>
      </c>
      <c r="D16" s="22"/>
      <c r="E16" s="22"/>
    </row>
    <row r="17" spans="1:5" x14ac:dyDescent="0.3">
      <c r="A17" s="22">
        <v>16</v>
      </c>
      <c r="B17" s="22" t="s">
        <v>271</v>
      </c>
      <c r="C17" s="22" t="s">
        <v>79</v>
      </c>
      <c r="D17" s="22"/>
      <c r="E17" s="22"/>
    </row>
    <row r="18" spans="1:5" x14ac:dyDescent="0.3">
      <c r="A18" s="22">
        <v>17</v>
      </c>
      <c r="B18" s="22" t="s">
        <v>517</v>
      </c>
      <c r="C18" s="22" t="s">
        <v>79</v>
      </c>
      <c r="D18" s="22"/>
      <c r="E18" s="22"/>
    </row>
    <row r="19" spans="1:5" x14ac:dyDescent="0.3">
      <c r="A19" s="22">
        <v>18</v>
      </c>
      <c r="B19" s="22" t="s">
        <v>21</v>
      </c>
      <c r="C19" s="22" t="s">
        <v>252</v>
      </c>
      <c r="D19" s="22"/>
      <c r="E19" s="22"/>
    </row>
    <row r="20" spans="1:5" x14ac:dyDescent="0.3">
      <c r="A20" s="22">
        <v>19</v>
      </c>
      <c r="B20" s="22" t="s">
        <v>22</v>
      </c>
      <c r="C20" s="22" t="s">
        <v>79</v>
      </c>
      <c r="D20" s="22"/>
      <c r="E20" s="22"/>
    </row>
    <row r="21" spans="1:5" x14ac:dyDescent="0.3">
      <c r="A21" s="22">
        <v>20</v>
      </c>
      <c r="B21" s="22" t="s">
        <v>518</v>
      </c>
      <c r="C21" s="22" t="s">
        <v>79</v>
      </c>
      <c r="D21" s="22"/>
      <c r="E21" s="22"/>
    </row>
    <row r="22" spans="1:5" x14ac:dyDescent="0.3">
      <c r="A22" s="22">
        <v>21</v>
      </c>
      <c r="B22" s="22" t="s">
        <v>24</v>
      </c>
      <c r="C22" s="22" t="s">
        <v>252</v>
      </c>
      <c r="D22" s="22"/>
      <c r="E22" s="22"/>
    </row>
    <row r="23" spans="1:5" x14ac:dyDescent="0.3">
      <c r="A23" s="22">
        <v>22</v>
      </c>
      <c r="B23" s="22" t="s">
        <v>274</v>
      </c>
      <c r="C23" s="22" t="s">
        <v>76</v>
      </c>
      <c r="D23" s="22"/>
      <c r="E23" s="22"/>
    </row>
    <row r="24" spans="1:5" x14ac:dyDescent="0.3">
      <c r="A24" s="22">
        <v>23</v>
      </c>
      <c r="B24" s="22" t="s">
        <v>26</v>
      </c>
      <c r="C24" s="22" t="s">
        <v>79</v>
      </c>
      <c r="D24" s="22"/>
      <c r="E24" s="22"/>
    </row>
    <row r="25" spans="1:5" x14ac:dyDescent="0.3">
      <c r="A25" s="22">
        <v>24</v>
      </c>
      <c r="B25" s="22" t="s">
        <v>275</v>
      </c>
      <c r="C25" s="22" t="s">
        <v>81</v>
      </c>
      <c r="D25" s="22"/>
      <c r="E25" s="22"/>
    </row>
    <row r="26" spans="1:5" x14ac:dyDescent="0.3">
      <c r="A26" s="22">
        <v>25</v>
      </c>
      <c r="B26" s="22" t="s">
        <v>276</v>
      </c>
      <c r="C26" s="22" t="s">
        <v>252</v>
      </c>
      <c r="D26" s="22"/>
      <c r="E26" s="22"/>
    </row>
    <row r="27" spans="1:5" x14ac:dyDescent="0.3">
      <c r="A27" s="22">
        <v>26</v>
      </c>
      <c r="B27" s="22" t="s">
        <v>519</v>
      </c>
      <c r="C27" s="22" t="s">
        <v>79</v>
      </c>
      <c r="D27" s="22"/>
      <c r="E27" s="22"/>
    </row>
    <row r="28" spans="1:5" x14ac:dyDescent="0.3">
      <c r="A28" s="22">
        <v>27</v>
      </c>
      <c r="B28" s="22" t="s">
        <v>30</v>
      </c>
      <c r="C28" s="22" t="s">
        <v>76</v>
      </c>
      <c r="D28" s="22"/>
      <c r="E28" s="22"/>
    </row>
    <row r="29" spans="1:5" x14ac:dyDescent="0.3">
      <c r="A29" s="22">
        <v>28</v>
      </c>
      <c r="B29" s="22" t="s">
        <v>31</v>
      </c>
      <c r="C29" s="22" t="s">
        <v>79</v>
      </c>
      <c r="D29" s="22"/>
      <c r="E29" s="22"/>
    </row>
    <row r="30" spans="1:5" x14ac:dyDescent="0.3">
      <c r="A30" s="22">
        <v>29</v>
      </c>
      <c r="B30" s="22" t="s">
        <v>32</v>
      </c>
      <c r="C30" s="22" t="s">
        <v>76</v>
      </c>
      <c r="D30" s="22"/>
      <c r="E30" s="22"/>
    </row>
    <row r="31" spans="1:5" x14ac:dyDescent="0.3">
      <c r="A31" s="22">
        <v>30</v>
      </c>
      <c r="B31" s="22" t="s">
        <v>520</v>
      </c>
      <c r="C31" s="22" t="s">
        <v>252</v>
      </c>
      <c r="D31" s="22"/>
      <c r="E31" s="22"/>
    </row>
    <row r="32" spans="1:5" x14ac:dyDescent="0.3">
      <c r="A32" s="22">
        <v>31</v>
      </c>
      <c r="B32" s="22" t="s">
        <v>279</v>
      </c>
      <c r="C32" s="22" t="s">
        <v>77</v>
      </c>
      <c r="D32" s="22"/>
      <c r="E32" s="22"/>
    </row>
    <row r="33" spans="1:5" x14ac:dyDescent="0.3">
      <c r="A33" s="22">
        <v>32</v>
      </c>
      <c r="B33" s="22" t="s">
        <v>35</v>
      </c>
      <c r="C33" s="22" t="s">
        <v>76</v>
      </c>
      <c r="D33" s="22"/>
      <c r="E33" s="22"/>
    </row>
    <row r="34" spans="1:5" x14ac:dyDescent="0.3">
      <c r="A34" s="22">
        <v>33</v>
      </c>
      <c r="B34" s="22" t="s">
        <v>280</v>
      </c>
      <c r="C34" s="22" t="s">
        <v>77</v>
      </c>
      <c r="D34" s="22"/>
      <c r="E34" s="22"/>
    </row>
    <row r="35" spans="1:5" x14ac:dyDescent="0.3">
      <c r="A35" s="22">
        <v>34</v>
      </c>
      <c r="B35" s="22" t="s">
        <v>37</v>
      </c>
      <c r="C35" s="22" t="s">
        <v>80</v>
      </c>
      <c r="D35" s="22"/>
      <c r="E35" s="22"/>
    </row>
    <row r="36" spans="1:5" x14ac:dyDescent="0.3">
      <c r="A36" s="22">
        <v>35</v>
      </c>
      <c r="B36" s="22" t="s">
        <v>521</v>
      </c>
      <c r="C36" s="22" t="s">
        <v>80</v>
      </c>
      <c r="D36" s="22"/>
      <c r="E36" s="22"/>
    </row>
    <row r="37" spans="1:5" x14ac:dyDescent="0.3">
      <c r="A37" s="22">
        <v>36</v>
      </c>
      <c r="B37" s="22" t="s">
        <v>282</v>
      </c>
      <c r="C37" s="22" t="s">
        <v>76</v>
      </c>
      <c r="D37" s="22"/>
      <c r="E37" s="22"/>
    </row>
    <row r="38" spans="1:5" x14ac:dyDescent="0.3">
      <c r="A38" s="22">
        <v>37</v>
      </c>
      <c r="B38" s="22" t="s">
        <v>283</v>
      </c>
      <c r="C38" s="22" t="s">
        <v>252</v>
      </c>
      <c r="D38" s="22"/>
      <c r="E38" s="22"/>
    </row>
    <row r="39" spans="1:5" x14ac:dyDescent="0.3">
      <c r="A39" s="22">
        <v>38</v>
      </c>
      <c r="B39" s="22" t="s">
        <v>284</v>
      </c>
      <c r="C39" s="22" t="s">
        <v>79</v>
      </c>
      <c r="D39" s="22"/>
      <c r="E39" s="22"/>
    </row>
    <row r="40" spans="1:5" x14ac:dyDescent="0.3">
      <c r="A40" s="22">
        <v>39</v>
      </c>
      <c r="B40" s="22" t="s">
        <v>42</v>
      </c>
      <c r="C40" s="22" t="s">
        <v>77</v>
      </c>
      <c r="D40" s="22"/>
      <c r="E40" s="22"/>
    </row>
    <row r="41" spans="1:5" x14ac:dyDescent="0.3">
      <c r="A41" s="22">
        <v>40</v>
      </c>
      <c r="B41" s="22" t="s">
        <v>285</v>
      </c>
      <c r="C41" s="22" t="s">
        <v>79</v>
      </c>
      <c r="D41" s="22"/>
      <c r="E41" s="22"/>
    </row>
    <row r="42" spans="1:5" x14ac:dyDescent="0.3">
      <c r="A42" s="22">
        <v>41</v>
      </c>
      <c r="B42" s="22" t="s">
        <v>44</v>
      </c>
      <c r="C42" s="22" t="s">
        <v>81</v>
      </c>
      <c r="D42" s="22"/>
      <c r="E42" s="22"/>
    </row>
    <row r="43" spans="1:5" x14ac:dyDescent="0.3">
      <c r="A43" s="22">
        <v>42</v>
      </c>
      <c r="B43" s="22" t="s">
        <v>286</v>
      </c>
      <c r="C43" s="22" t="s">
        <v>81</v>
      </c>
      <c r="D43" s="22"/>
      <c r="E43" s="22"/>
    </row>
    <row r="44" spans="1:5" x14ac:dyDescent="0.3">
      <c r="A44" s="22">
        <v>43</v>
      </c>
      <c r="B44" s="22" t="s">
        <v>46</v>
      </c>
      <c r="C44" s="22" t="s">
        <v>80</v>
      </c>
      <c r="D44" s="22"/>
      <c r="E44" s="22"/>
    </row>
    <row r="45" spans="1:5" x14ac:dyDescent="0.3">
      <c r="A45" s="22">
        <v>44</v>
      </c>
      <c r="B45" s="22" t="s">
        <v>287</v>
      </c>
      <c r="C45" s="22" t="s">
        <v>252</v>
      </c>
      <c r="D45" s="22"/>
      <c r="E45" s="22"/>
    </row>
    <row r="46" spans="1:5" x14ac:dyDescent="0.3">
      <c r="A46" s="22">
        <v>45</v>
      </c>
      <c r="B46" s="22" t="s">
        <v>48</v>
      </c>
      <c r="C46" s="22" t="s">
        <v>81</v>
      </c>
      <c r="D46" s="22"/>
      <c r="E46" s="22"/>
    </row>
    <row r="47" spans="1:5" x14ac:dyDescent="0.3">
      <c r="A47" s="22">
        <v>46</v>
      </c>
      <c r="B47" s="22" t="s">
        <v>288</v>
      </c>
      <c r="C47" s="22" t="s">
        <v>79</v>
      </c>
      <c r="D47" s="22"/>
      <c r="E47" s="22"/>
    </row>
    <row r="48" spans="1:5" x14ac:dyDescent="0.3">
      <c r="A48" s="22">
        <v>47</v>
      </c>
      <c r="B48" s="22" t="s">
        <v>50</v>
      </c>
      <c r="C48" s="22" t="s">
        <v>79</v>
      </c>
      <c r="D48" s="22"/>
      <c r="E48" s="22"/>
    </row>
    <row r="49" spans="1:5" x14ac:dyDescent="0.3">
      <c r="A49" s="22">
        <v>48</v>
      </c>
      <c r="B49" s="22" t="s">
        <v>51</v>
      </c>
      <c r="C49" s="22" t="s">
        <v>81</v>
      </c>
      <c r="D49" s="22"/>
      <c r="E49" s="22"/>
    </row>
    <row r="50" spans="1:5" x14ac:dyDescent="0.3">
      <c r="A50" s="22">
        <v>49</v>
      </c>
      <c r="B50" s="22" t="s">
        <v>52</v>
      </c>
      <c r="C50" s="22" t="s">
        <v>81</v>
      </c>
      <c r="D50" s="22"/>
      <c r="E50" s="22"/>
    </row>
    <row r="51" spans="1:5" x14ac:dyDescent="0.3">
      <c r="A51" s="22">
        <v>50</v>
      </c>
      <c r="B51" s="22" t="s">
        <v>289</v>
      </c>
      <c r="C51" s="22" t="s">
        <v>77</v>
      </c>
      <c r="D51" s="22"/>
      <c r="E51" s="22"/>
    </row>
    <row r="52" spans="1:5" x14ac:dyDescent="0.3">
      <c r="A52" s="22">
        <v>51</v>
      </c>
      <c r="B52" s="22" t="s">
        <v>54</v>
      </c>
      <c r="C52" s="22" t="s">
        <v>76</v>
      </c>
      <c r="D52" s="22"/>
      <c r="E52" s="22"/>
    </row>
    <row r="53" spans="1:5" x14ac:dyDescent="0.3">
      <c r="A53" s="22">
        <v>52</v>
      </c>
      <c r="B53" s="22" t="s">
        <v>55</v>
      </c>
      <c r="C53" s="22" t="s">
        <v>79</v>
      </c>
      <c r="D53" s="22"/>
      <c r="E53" s="22"/>
    </row>
    <row r="54" spans="1:5" x14ac:dyDescent="0.3">
      <c r="A54" s="22">
        <v>53</v>
      </c>
      <c r="B54" s="22" t="s">
        <v>290</v>
      </c>
      <c r="C54" s="22" t="s">
        <v>77</v>
      </c>
      <c r="D54" s="22"/>
      <c r="E54" s="22"/>
    </row>
    <row r="55" spans="1:5" x14ac:dyDescent="0.3">
      <c r="A55" s="22">
        <v>54</v>
      </c>
      <c r="B55" s="22" t="s">
        <v>291</v>
      </c>
      <c r="C55" s="22" t="s">
        <v>81</v>
      </c>
      <c r="D55" s="22"/>
      <c r="E55" s="22"/>
    </row>
    <row r="56" spans="1:5" x14ac:dyDescent="0.3">
      <c r="A56" s="22">
        <v>55</v>
      </c>
      <c r="B56" s="22" t="s">
        <v>522</v>
      </c>
      <c r="C56" s="22" t="s">
        <v>252</v>
      </c>
      <c r="D56" s="22"/>
      <c r="E56" s="22"/>
    </row>
    <row r="57" spans="1:5" x14ac:dyDescent="0.3">
      <c r="A57" s="22">
        <v>56</v>
      </c>
      <c r="B57" s="22" t="s">
        <v>523</v>
      </c>
      <c r="C57" s="22" t="s">
        <v>77</v>
      </c>
      <c r="D57" s="22"/>
      <c r="E57" s="22"/>
    </row>
    <row r="58" spans="1:5" x14ac:dyDescent="0.3">
      <c r="A58" s="22">
        <v>57</v>
      </c>
      <c r="B58" s="22" t="s">
        <v>294</v>
      </c>
      <c r="C58" s="22" t="s">
        <v>77</v>
      </c>
      <c r="D58" s="22"/>
      <c r="E58" s="22"/>
    </row>
    <row r="59" spans="1:5" x14ac:dyDescent="0.3">
      <c r="A59" s="22">
        <v>58</v>
      </c>
      <c r="B59" s="22" t="s">
        <v>61</v>
      </c>
      <c r="C59" s="22" t="s">
        <v>81</v>
      </c>
      <c r="D59" s="22"/>
      <c r="E59" s="22"/>
    </row>
    <row r="60" spans="1:5" x14ac:dyDescent="0.3">
      <c r="A60" s="22">
        <v>59</v>
      </c>
      <c r="B60" s="22" t="s">
        <v>295</v>
      </c>
      <c r="C60" s="22" t="s">
        <v>79</v>
      </c>
      <c r="D60" s="22"/>
      <c r="E60" s="22"/>
    </row>
    <row r="61" spans="1:5" x14ac:dyDescent="0.3">
      <c r="A61" s="22">
        <v>60</v>
      </c>
      <c r="B61" s="22" t="s">
        <v>63</v>
      </c>
      <c r="C61" s="22" t="s">
        <v>252</v>
      </c>
      <c r="D61" s="22"/>
      <c r="E61" s="22"/>
    </row>
    <row r="62" spans="1:5" x14ac:dyDescent="0.3">
      <c r="A62" s="22">
        <v>61</v>
      </c>
      <c r="B62" s="22" t="s">
        <v>64</v>
      </c>
      <c r="C62" s="22" t="s">
        <v>252</v>
      </c>
      <c r="D62" s="22"/>
      <c r="E62" s="22"/>
    </row>
    <row r="63" spans="1:5" x14ac:dyDescent="0.3">
      <c r="A63" s="22">
        <v>62</v>
      </c>
      <c r="B63" s="22" t="s">
        <v>296</v>
      </c>
      <c r="C63" s="22" t="s">
        <v>81</v>
      </c>
      <c r="D63" s="22"/>
      <c r="E63" s="22"/>
    </row>
    <row r="64" spans="1:5" x14ac:dyDescent="0.3">
      <c r="A64" s="22">
        <v>63</v>
      </c>
      <c r="B64" s="22" t="s">
        <v>524</v>
      </c>
      <c r="C64" s="22" t="s">
        <v>252</v>
      </c>
      <c r="D64" s="22"/>
      <c r="E64" s="22"/>
    </row>
    <row r="65" spans="1:5" x14ac:dyDescent="0.3">
      <c r="A65" s="22">
        <v>64</v>
      </c>
      <c r="B65" s="22" t="s">
        <v>67</v>
      </c>
      <c r="C65" s="22" t="s">
        <v>76</v>
      </c>
      <c r="D65" s="22"/>
      <c r="E65" s="22"/>
    </row>
    <row r="66" spans="1:5" x14ac:dyDescent="0.3">
      <c r="A66" s="22">
        <v>65</v>
      </c>
      <c r="B66" s="22" t="s">
        <v>68</v>
      </c>
      <c r="C66" s="22" t="s">
        <v>79</v>
      </c>
      <c r="D66" s="22"/>
      <c r="E66" s="22"/>
    </row>
    <row r="67" spans="1:5" x14ac:dyDescent="0.3">
      <c r="A67" s="22">
        <v>66</v>
      </c>
      <c r="B67" s="22" t="s">
        <v>298</v>
      </c>
      <c r="C67" s="22" t="s">
        <v>79</v>
      </c>
      <c r="D67" s="22"/>
      <c r="E67" s="22"/>
    </row>
    <row r="68" spans="1:5" x14ac:dyDescent="0.3">
      <c r="A68" s="22">
        <v>67</v>
      </c>
      <c r="B68" s="22" t="s">
        <v>299</v>
      </c>
      <c r="C68" s="22" t="s">
        <v>77</v>
      </c>
      <c r="D68" s="22"/>
      <c r="E68" s="22"/>
    </row>
    <row r="69" spans="1:5" x14ac:dyDescent="0.3">
      <c r="A69" s="22">
        <v>68</v>
      </c>
      <c r="B69" s="22" t="s">
        <v>300</v>
      </c>
      <c r="C69" s="22" t="s">
        <v>79</v>
      </c>
      <c r="D69" s="22"/>
      <c r="E69" s="22"/>
    </row>
    <row r="70" spans="1:5" x14ac:dyDescent="0.3">
      <c r="A70" s="22">
        <v>69</v>
      </c>
      <c r="B70" s="22" t="s">
        <v>301</v>
      </c>
      <c r="C70" s="22" t="s">
        <v>80</v>
      </c>
      <c r="D70" s="22"/>
      <c r="E70" s="22"/>
    </row>
    <row r="71" spans="1:5" x14ac:dyDescent="0.3">
      <c r="A71" s="22">
        <v>70</v>
      </c>
      <c r="B71" s="22" t="s">
        <v>302</v>
      </c>
      <c r="C71" s="22" t="s">
        <v>76</v>
      </c>
      <c r="D71" s="23"/>
      <c r="E71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M141"/>
  <sheetViews>
    <sheetView topLeftCell="B1" zoomScale="85" zoomScaleNormal="85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9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2.5546875" bestFit="1" customWidth="1"/>
    <col min="13" max="13" width="21" bestFit="1" customWidth="1"/>
  </cols>
  <sheetData>
    <row r="1" spans="1:13" x14ac:dyDescent="0.3">
      <c r="A1" s="1" t="s">
        <v>75</v>
      </c>
      <c r="B1" s="2" t="s">
        <v>74</v>
      </c>
      <c r="C1" s="2" t="s">
        <v>244</v>
      </c>
      <c r="D1" s="1" t="s">
        <v>511</v>
      </c>
      <c r="E1" s="19" t="s">
        <v>510</v>
      </c>
      <c r="F1" s="19" t="s">
        <v>512</v>
      </c>
      <c r="G1" s="2" t="s">
        <v>259</v>
      </c>
      <c r="H1" s="1" t="s">
        <v>3</v>
      </c>
      <c r="J1" s="1" t="s">
        <v>157</v>
      </c>
      <c r="K1" s="1" t="s">
        <v>158</v>
      </c>
      <c r="L1" s="1" t="s">
        <v>159</v>
      </c>
    </row>
    <row r="2" spans="1:13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24" t="s">
        <v>79</v>
      </c>
      <c r="E2" s="18"/>
      <c r="F2" s="18"/>
      <c r="G2" s="1" t="s">
        <v>79</v>
      </c>
      <c r="H2" s="19" t="b">
        <f>IF(OR(D2=G2, E2=G2, F2=G2), TRUE, FALSE)</f>
        <v>1</v>
      </c>
      <c r="J2" s="1">
        <v>140</v>
      </c>
      <c r="K2" s="1">
        <f>COUNTIF(H2:H141, TRUE)</f>
        <v>90</v>
      </c>
      <c r="L2" s="4">
        <f>K2/J2</f>
        <v>0.6428571428571429</v>
      </c>
    </row>
    <row r="3" spans="1:13" x14ac:dyDescent="0.3">
      <c r="A3" s="1">
        <v>72</v>
      </c>
      <c r="B3" s="17" t="s">
        <v>303</v>
      </c>
      <c r="C3" s="13" t="str" cm="1">
        <f t="array" ref="C3">_xlfn.IFS(LEN(B3) &lt;= 25, "Short", AND(LEN(B3) &gt; 25, LEN(B3) &lt;= 50), "Medium", LEN(B3) &gt; 50, "Long")</f>
        <v>Long</v>
      </c>
      <c r="D3" s="24" t="s">
        <v>79</v>
      </c>
      <c r="E3" s="18"/>
      <c r="F3" s="18"/>
      <c r="G3" s="1" t="s">
        <v>82</v>
      </c>
      <c r="H3" s="19" t="b">
        <f t="shared" ref="H3:H66" si="0">IF(OR(D3=G3, E3=G3, F3=G3), TRUE, FALSE)</f>
        <v>0</v>
      </c>
    </row>
    <row r="4" spans="1:13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24" t="s">
        <v>76</v>
      </c>
      <c r="E4" s="18"/>
      <c r="F4" s="18"/>
      <c r="G4" s="1" t="s">
        <v>77</v>
      </c>
      <c r="H4" s="19" t="b">
        <f t="shared" si="0"/>
        <v>0</v>
      </c>
      <c r="J4" s="25" t="s">
        <v>237</v>
      </c>
      <c r="K4" s="25"/>
      <c r="L4" s="25"/>
      <c r="M4" s="25"/>
    </row>
    <row r="5" spans="1:13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24" t="s">
        <v>81</v>
      </c>
      <c r="E5" s="18"/>
      <c r="F5" s="18"/>
      <c r="G5" s="1" t="s">
        <v>81</v>
      </c>
      <c r="H5" s="19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x14ac:dyDescent="0.3">
      <c r="A6" s="1">
        <v>75</v>
      </c>
      <c r="B6" s="17" t="s">
        <v>304</v>
      </c>
      <c r="C6" s="13" t="str" cm="1">
        <f t="array" ref="C6">_xlfn.IFS(LEN(B6) &lt;= 25, "Short", AND(LEN(B6) &gt; 25, LEN(B6) &lt;= 50), "Medium", LEN(B6) &gt; 50, "Long")</f>
        <v>Medium</v>
      </c>
      <c r="D6" s="24" t="s">
        <v>82</v>
      </c>
      <c r="E6" s="18"/>
      <c r="F6" s="18"/>
      <c r="G6" s="1" t="s">
        <v>77</v>
      </c>
      <c r="H6" s="19" t="b">
        <f t="shared" si="0"/>
        <v>0</v>
      </c>
      <c r="J6" s="1" t="s">
        <v>252</v>
      </c>
      <c r="K6" s="1">
        <f>COUNTIF($G$2:$G$141,J6)</f>
        <v>20</v>
      </c>
      <c r="L6" s="1">
        <f t="shared" ref="L6:L12" si="1">COUNTIFS($G$2:$G$141, J6, $D$2:$D$141, J6)</f>
        <v>13</v>
      </c>
      <c r="M6" s="3">
        <f>L6/K6</f>
        <v>0.65</v>
      </c>
    </row>
    <row r="7" spans="1:13" x14ac:dyDescent="0.3">
      <c r="A7" s="1">
        <v>76</v>
      </c>
      <c r="B7" s="17" t="s">
        <v>305</v>
      </c>
      <c r="C7" s="13" t="str" cm="1">
        <f t="array" ref="C7">_xlfn.IFS(LEN(B7) &lt;= 25, "Short", AND(LEN(B7) &gt; 25, LEN(B7) &lt;= 50), "Medium", LEN(B7) &gt; 50, "Long")</f>
        <v>Long</v>
      </c>
      <c r="D7" s="24" t="s">
        <v>77</v>
      </c>
      <c r="E7" s="18"/>
      <c r="F7" s="18"/>
      <c r="G7" s="1" t="s">
        <v>77</v>
      </c>
      <c r="H7" s="19" t="b">
        <f t="shared" si="0"/>
        <v>1</v>
      </c>
      <c r="J7" s="1" t="s">
        <v>81</v>
      </c>
      <c r="K7" s="1">
        <f t="shared" ref="K7:K12" si="2">COUNTIF($G$2:$G$141,J7)</f>
        <v>20</v>
      </c>
      <c r="L7" s="1">
        <f t="shared" si="1"/>
        <v>17</v>
      </c>
      <c r="M7" s="3">
        <f t="shared" ref="M7:M12" si="3">L7/K7</f>
        <v>0.85</v>
      </c>
    </row>
    <row r="8" spans="1:13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24" t="s">
        <v>80</v>
      </c>
      <c r="E8" s="18"/>
      <c r="F8" s="18"/>
      <c r="G8" s="1" t="s">
        <v>80</v>
      </c>
      <c r="H8" s="19" t="b">
        <f t="shared" si="0"/>
        <v>1</v>
      </c>
      <c r="J8" s="1" t="s">
        <v>79</v>
      </c>
      <c r="K8" s="1">
        <f t="shared" si="2"/>
        <v>20</v>
      </c>
      <c r="L8" s="1">
        <f t="shared" si="1"/>
        <v>15</v>
      </c>
      <c r="M8" s="3">
        <f t="shared" si="3"/>
        <v>0.75</v>
      </c>
    </row>
    <row r="9" spans="1:13" x14ac:dyDescent="0.3">
      <c r="A9" s="1">
        <v>78</v>
      </c>
      <c r="B9" s="17" t="s">
        <v>306</v>
      </c>
      <c r="C9" s="13" t="str" cm="1">
        <f t="array" ref="C9">_xlfn.IFS(LEN(B9) &lt;= 25, "Short", AND(LEN(B9) &gt; 25, LEN(B9) &lt;= 50), "Medium", LEN(B9) &gt; 50, "Long")</f>
        <v>Short</v>
      </c>
      <c r="D9" s="24" t="s">
        <v>80</v>
      </c>
      <c r="E9" s="18"/>
      <c r="F9" s="18"/>
      <c r="G9" s="1" t="s">
        <v>80</v>
      </c>
      <c r="H9" s="19" t="b">
        <f t="shared" si="0"/>
        <v>1</v>
      </c>
      <c r="J9" s="1" t="s">
        <v>77</v>
      </c>
      <c r="K9" s="1">
        <f t="shared" si="2"/>
        <v>20</v>
      </c>
      <c r="L9" s="1">
        <f t="shared" si="1"/>
        <v>15</v>
      </c>
      <c r="M9" s="3">
        <f t="shared" si="3"/>
        <v>0.75</v>
      </c>
    </row>
    <row r="10" spans="1:13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24" t="s">
        <v>79</v>
      </c>
      <c r="E10" s="18"/>
      <c r="F10" s="18"/>
      <c r="G10" s="1" t="s">
        <v>252</v>
      </c>
      <c r="H10" s="19" t="b">
        <f t="shared" si="0"/>
        <v>0</v>
      </c>
      <c r="J10" s="1" t="s">
        <v>82</v>
      </c>
      <c r="K10" s="1">
        <f t="shared" si="2"/>
        <v>20</v>
      </c>
      <c r="L10" s="1">
        <f t="shared" si="1"/>
        <v>1</v>
      </c>
      <c r="M10" s="3">
        <f t="shared" si="3"/>
        <v>0.05</v>
      </c>
    </row>
    <row r="11" spans="1:13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24" t="s">
        <v>76</v>
      </c>
      <c r="E11" s="18"/>
      <c r="F11" s="18"/>
      <c r="G11" s="1" t="s">
        <v>76</v>
      </c>
      <c r="H11" s="19" t="b">
        <f t="shared" si="0"/>
        <v>1</v>
      </c>
      <c r="J11" s="1" t="s">
        <v>80</v>
      </c>
      <c r="K11" s="1">
        <f t="shared" si="2"/>
        <v>20</v>
      </c>
      <c r="L11" s="1">
        <f t="shared" si="1"/>
        <v>9</v>
      </c>
      <c r="M11" s="3">
        <f t="shared" si="3"/>
        <v>0.45</v>
      </c>
    </row>
    <row r="12" spans="1:13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24" t="s">
        <v>76</v>
      </c>
      <c r="E12" s="18"/>
      <c r="F12" s="18"/>
      <c r="G12" s="1" t="s">
        <v>76</v>
      </c>
      <c r="H12" s="19" t="b">
        <f t="shared" si="0"/>
        <v>1</v>
      </c>
      <c r="J12" s="1" t="s">
        <v>76</v>
      </c>
      <c r="K12" s="1">
        <f t="shared" si="2"/>
        <v>20</v>
      </c>
      <c r="L12" s="1">
        <f t="shared" si="1"/>
        <v>20</v>
      </c>
      <c r="M12" s="3">
        <f t="shared" si="3"/>
        <v>1</v>
      </c>
    </row>
    <row r="13" spans="1:13" x14ac:dyDescent="0.3">
      <c r="A13" s="1">
        <v>82</v>
      </c>
      <c r="B13" s="17" t="s">
        <v>307</v>
      </c>
      <c r="C13" s="13" t="str" cm="1">
        <f t="array" ref="C13">_xlfn.IFS(LEN(B13) &lt;= 25, "Short", AND(LEN(B13) &gt; 25, LEN(B13) &lt;= 50), "Medium", LEN(B13) &gt; 50, "Long")</f>
        <v>Short</v>
      </c>
      <c r="D13" s="24" t="s">
        <v>80</v>
      </c>
      <c r="E13" s="18"/>
      <c r="F13" s="18"/>
      <c r="G13" s="1" t="s">
        <v>80</v>
      </c>
      <c r="H13" s="19" t="b">
        <f t="shared" si="0"/>
        <v>1</v>
      </c>
    </row>
    <row r="14" spans="1:13" x14ac:dyDescent="0.3">
      <c r="A14" s="1">
        <v>83</v>
      </c>
      <c r="B14" s="17" t="s">
        <v>308</v>
      </c>
      <c r="C14" s="13" t="str" cm="1">
        <f t="array" ref="C14">_xlfn.IFS(LEN(B14) &lt;= 25, "Short", AND(LEN(B14) &gt; 25, LEN(B14) &lt;= 50), "Medium", LEN(B14) &gt; 50, "Long")</f>
        <v>Long</v>
      </c>
      <c r="D14" s="24" t="s">
        <v>77</v>
      </c>
      <c r="E14" s="18"/>
      <c r="F14" s="18"/>
      <c r="G14" s="1" t="s">
        <v>82</v>
      </c>
      <c r="H14" s="19" t="b">
        <f t="shared" si="0"/>
        <v>0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24" t="s">
        <v>76</v>
      </c>
      <c r="E15" s="18"/>
      <c r="F15" s="18"/>
      <c r="G15" s="1" t="s">
        <v>76</v>
      </c>
      <c r="H15" s="19" t="b">
        <f t="shared" si="0"/>
        <v>1</v>
      </c>
      <c r="J15" s="6" t="s">
        <v>258</v>
      </c>
      <c r="K15" s="6">
        <f>COUNTIF(C2:C141, "Short")</f>
        <v>66</v>
      </c>
      <c r="L15" s="6">
        <f>COUNTIFS(C2:C141, "Short", H2:H141, TRUE)</f>
        <v>41</v>
      </c>
      <c r="M15" s="4">
        <f>L15/K15</f>
        <v>0.62121212121212122</v>
      </c>
    </row>
    <row r="16" spans="1:13" x14ac:dyDescent="0.3">
      <c r="A16" s="1">
        <v>85</v>
      </c>
      <c r="B16" s="17" t="s">
        <v>309</v>
      </c>
      <c r="C16" s="13" t="str" cm="1">
        <f t="array" ref="C16">_xlfn.IFS(LEN(B16) &lt;= 25, "Short", AND(LEN(B16) &gt; 25, LEN(B16) &lt;= 50), "Medium", LEN(B16) &gt; 50, "Long")</f>
        <v>Medium</v>
      </c>
      <c r="D16" s="24" t="s">
        <v>77</v>
      </c>
      <c r="E16" s="18"/>
      <c r="F16" s="18"/>
      <c r="G16" s="1" t="s">
        <v>80</v>
      </c>
      <c r="H16" s="19" t="b">
        <f t="shared" si="0"/>
        <v>0</v>
      </c>
      <c r="J16" s="6" t="s">
        <v>257</v>
      </c>
      <c r="K16" s="6">
        <f>COUNTIFS(C2:C141, "Medium")</f>
        <v>51</v>
      </c>
      <c r="L16" s="6">
        <f>COUNTIFS(C2:C141, "Medium", H2:H141, TRUE)</f>
        <v>38</v>
      </c>
      <c r="M16" s="4">
        <f t="shared" ref="M16:M17" si="4">L16/K16</f>
        <v>0.74509803921568629</v>
      </c>
    </row>
    <row r="17" spans="1:13" x14ac:dyDescent="0.3">
      <c r="A17" s="1">
        <v>86</v>
      </c>
      <c r="B17" s="17" t="s">
        <v>310</v>
      </c>
      <c r="C17" s="13" t="str" cm="1">
        <f t="array" ref="C17">_xlfn.IFS(LEN(B17) &lt;= 25, "Short", AND(LEN(B17) &gt; 25, LEN(B17) &lt;= 50), "Medium", LEN(B17) &gt; 50, "Long")</f>
        <v>Short</v>
      </c>
      <c r="D17" s="24" t="s">
        <v>79</v>
      </c>
      <c r="E17" s="18"/>
      <c r="F17" s="18"/>
      <c r="G17" s="1" t="s">
        <v>252</v>
      </c>
      <c r="H17" s="19" t="b">
        <f t="shared" si="0"/>
        <v>0</v>
      </c>
      <c r="J17" s="6" t="s">
        <v>256</v>
      </c>
      <c r="K17" s="6">
        <f>COUNTIF(C2:C141, "Long")</f>
        <v>23</v>
      </c>
      <c r="L17" s="6">
        <f>COUNTIFS(C2:C141, "Long", H2:H141, TRUE)</f>
        <v>11</v>
      </c>
      <c r="M17" s="4">
        <f t="shared" si="4"/>
        <v>0.47826086956521741</v>
      </c>
    </row>
    <row r="18" spans="1:13" x14ac:dyDescent="0.3">
      <c r="A18" s="1">
        <v>87</v>
      </c>
      <c r="B18" s="17" t="s">
        <v>311</v>
      </c>
      <c r="C18" s="13" t="str" cm="1">
        <f t="array" ref="C18">_xlfn.IFS(LEN(B18) &lt;= 25, "Short", AND(LEN(B18) &gt; 25, LEN(B18) &lt;= 50), "Medium", LEN(B18) &gt; 50, "Long")</f>
        <v>Short</v>
      </c>
      <c r="D18" s="24" t="s">
        <v>79</v>
      </c>
      <c r="E18" s="18"/>
      <c r="F18" s="18"/>
      <c r="G18" s="1" t="s">
        <v>79</v>
      </c>
      <c r="H18" s="19" t="b">
        <f t="shared" si="0"/>
        <v>1</v>
      </c>
    </row>
    <row r="19" spans="1:13" x14ac:dyDescent="0.3">
      <c r="A19" s="1">
        <v>88</v>
      </c>
      <c r="B19" s="17" t="s">
        <v>312</v>
      </c>
      <c r="C19" s="13" t="str" cm="1">
        <f t="array" ref="C19">_xlfn.IFS(LEN(B19) &lt;= 25, "Short", AND(LEN(B19) &gt; 25, LEN(B19) &lt;= 50), "Medium", LEN(B19) &gt; 50, "Long")</f>
        <v>Medium</v>
      </c>
      <c r="D19" s="24" t="s">
        <v>77</v>
      </c>
      <c r="E19" s="18"/>
      <c r="F19" s="18"/>
      <c r="G19" s="1" t="s">
        <v>77</v>
      </c>
      <c r="H19" s="19" t="b">
        <f t="shared" si="0"/>
        <v>1</v>
      </c>
      <c r="J19" s="25" t="s">
        <v>247</v>
      </c>
      <c r="K19" s="25"/>
    </row>
    <row r="20" spans="1:13" x14ac:dyDescent="0.3">
      <c r="A20" s="1">
        <v>89</v>
      </c>
      <c r="B20" s="17" t="s">
        <v>313</v>
      </c>
      <c r="C20" s="13" t="str" cm="1">
        <f t="array" ref="C20">_xlfn.IFS(LEN(B20) &lt;= 25, "Short", AND(LEN(B20) &gt; 25, LEN(B20) &lt;= 50), "Medium", LEN(B20) &gt; 50, "Long")</f>
        <v>Medium</v>
      </c>
      <c r="D20" s="24" t="s">
        <v>81</v>
      </c>
      <c r="E20" s="18"/>
      <c r="F20" s="18"/>
      <c r="G20" s="1" t="s">
        <v>79</v>
      </c>
      <c r="H20" s="19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90</v>
      </c>
      <c r="B21" s="17" t="s">
        <v>314</v>
      </c>
      <c r="C21" s="13" t="str" cm="1">
        <f t="array" ref="C21">_xlfn.IFS(LEN(B21) &lt;= 25, "Short", AND(LEN(B21) &gt; 25, LEN(B21) &lt;= 50), "Medium", LEN(B21) &gt; 50, "Long")</f>
        <v>Short</v>
      </c>
      <c r="D21" s="24" t="s">
        <v>81</v>
      </c>
      <c r="E21" s="18"/>
      <c r="F21" s="18"/>
      <c r="G21" s="1" t="s">
        <v>81</v>
      </c>
      <c r="H21" s="19" t="b">
        <f t="shared" si="0"/>
        <v>1</v>
      </c>
      <c r="J21" s="9" t="s">
        <v>80</v>
      </c>
      <c r="K21" s="9" t="s">
        <v>77</v>
      </c>
      <c r="L21" s="7">
        <f t="shared" ref="L21:L32" si="5">COUNTIFS($D$2:$D$71, K21, $G$2:$G$71, J21)</f>
        <v>2</v>
      </c>
      <c r="M21" s="10">
        <f>L21/K11</f>
        <v>0.1</v>
      </c>
    </row>
    <row r="22" spans="1:13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24" t="s">
        <v>76</v>
      </c>
      <c r="E22" s="18"/>
      <c r="F22" s="18"/>
      <c r="G22" s="1" t="s">
        <v>76</v>
      </c>
      <c r="H22" s="19" t="b">
        <f t="shared" si="0"/>
        <v>1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x14ac:dyDescent="0.3">
      <c r="A23" s="1">
        <v>92</v>
      </c>
      <c r="B23" s="17" t="s">
        <v>315</v>
      </c>
      <c r="C23" s="13" t="str" cm="1">
        <f t="array" ref="C23">_xlfn.IFS(LEN(B23) &lt;= 25, "Short", AND(LEN(B23) &gt; 25, LEN(B23) &lt;= 50), "Medium", LEN(B23) &gt; 50, "Long")</f>
        <v>Short</v>
      </c>
      <c r="D23" s="24" t="s">
        <v>77</v>
      </c>
      <c r="E23" s="18"/>
      <c r="F23" s="18"/>
      <c r="G23" s="1" t="s">
        <v>77</v>
      </c>
      <c r="H23" s="19" t="b">
        <f t="shared" si="0"/>
        <v>1</v>
      </c>
      <c r="J23" s="9" t="s">
        <v>77</v>
      </c>
      <c r="K23" s="9" t="s">
        <v>80</v>
      </c>
      <c r="L23" s="7">
        <f t="shared" si="5"/>
        <v>0</v>
      </c>
      <c r="M23" s="10">
        <f>L23/K9</f>
        <v>0</v>
      </c>
    </row>
    <row r="24" spans="1:13" x14ac:dyDescent="0.3">
      <c r="A24" s="1">
        <v>93</v>
      </c>
      <c r="B24" s="17" t="s">
        <v>316</v>
      </c>
      <c r="C24" s="13" t="str" cm="1">
        <f t="array" ref="C24">_xlfn.IFS(LEN(B24) &lt;= 25, "Short", AND(LEN(B24) &gt; 25, LEN(B24) &lt;= 50), "Medium", LEN(B24) &gt; 50, "Long")</f>
        <v>Medium</v>
      </c>
      <c r="D24" s="24" t="s">
        <v>77</v>
      </c>
      <c r="E24" s="18"/>
      <c r="F24" s="18"/>
      <c r="G24" s="1" t="s">
        <v>77</v>
      </c>
      <c r="H24" s="19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24" t="s">
        <v>79</v>
      </c>
      <c r="E25" s="18"/>
      <c r="F25" s="18"/>
      <c r="G25" s="1" t="s">
        <v>79</v>
      </c>
      <c r="H25" s="19" t="b">
        <f t="shared" si="0"/>
        <v>1</v>
      </c>
      <c r="J25" s="9" t="s">
        <v>252</v>
      </c>
      <c r="K25" s="9" t="s">
        <v>81</v>
      </c>
      <c r="L25" s="7">
        <f t="shared" si="5"/>
        <v>1</v>
      </c>
      <c r="M25" s="10">
        <f>L25/K6</f>
        <v>0.05</v>
      </c>
    </row>
    <row r="26" spans="1:13" x14ac:dyDescent="0.3">
      <c r="A26" s="1">
        <v>95</v>
      </c>
      <c r="B26" s="17" t="s">
        <v>317</v>
      </c>
      <c r="C26" s="13" t="str" cm="1">
        <f t="array" ref="C26">_xlfn.IFS(LEN(B26) &lt;= 25, "Short", AND(LEN(B26) &gt; 25, LEN(B26) &lt;= 50), "Medium", LEN(B26) &gt; 50, "Long")</f>
        <v>Short</v>
      </c>
      <c r="D26" s="24" t="s">
        <v>79</v>
      </c>
      <c r="E26" s="18"/>
      <c r="F26" s="18"/>
      <c r="G26" s="1" t="s">
        <v>82</v>
      </c>
      <c r="H26" s="19" t="b">
        <f t="shared" si="0"/>
        <v>0</v>
      </c>
      <c r="J26" s="9" t="s">
        <v>81</v>
      </c>
      <c r="K26" s="9" t="s">
        <v>252</v>
      </c>
      <c r="L26" s="7">
        <f t="shared" si="5"/>
        <v>0</v>
      </c>
      <c r="M26" s="10">
        <f>L26/K7</f>
        <v>0</v>
      </c>
    </row>
    <row r="27" spans="1:13" x14ac:dyDescent="0.3">
      <c r="A27" s="1">
        <v>96</v>
      </c>
      <c r="B27" s="17" t="s">
        <v>318</v>
      </c>
      <c r="C27" s="13" t="str" cm="1">
        <f t="array" ref="C27">_xlfn.IFS(LEN(B27) &lt;= 25, "Short", AND(LEN(B27) &gt; 25, LEN(B27) &lt;= 50), "Medium", LEN(B27) &gt; 50, "Long")</f>
        <v>Long</v>
      </c>
      <c r="D27" s="24" t="s">
        <v>77</v>
      </c>
      <c r="E27" s="18"/>
      <c r="F27" s="18"/>
      <c r="G27" s="1" t="s">
        <v>82</v>
      </c>
      <c r="H27" s="19" t="b">
        <f t="shared" si="0"/>
        <v>0</v>
      </c>
      <c r="J27" s="7" t="s">
        <v>80</v>
      </c>
      <c r="K27" s="7" t="s">
        <v>245</v>
      </c>
      <c r="L27" s="7">
        <f t="shared" si="5"/>
        <v>0</v>
      </c>
      <c r="M27" s="10">
        <f>L27/K11</f>
        <v>0</v>
      </c>
    </row>
    <row r="28" spans="1:13" x14ac:dyDescent="0.3">
      <c r="A28" s="1">
        <v>97</v>
      </c>
      <c r="B28" s="17" t="s">
        <v>319</v>
      </c>
      <c r="C28" s="13" t="str" cm="1">
        <f t="array" ref="C28">_xlfn.IFS(LEN(B28) &lt;= 25, "Short", AND(LEN(B28) &gt; 25, LEN(B28) &lt;= 50), "Medium", LEN(B28) &gt; 50, "Long")</f>
        <v>Short</v>
      </c>
      <c r="D28" s="24" t="s">
        <v>77</v>
      </c>
      <c r="E28" s="18"/>
      <c r="F28" s="18"/>
      <c r="G28" s="1" t="s">
        <v>77</v>
      </c>
      <c r="H28" s="19" t="b">
        <f t="shared" si="0"/>
        <v>1</v>
      </c>
      <c r="J28" s="7" t="s">
        <v>245</v>
      </c>
      <c r="K28" s="7" t="s">
        <v>80</v>
      </c>
      <c r="L28" s="7">
        <f t="shared" si="5"/>
        <v>0</v>
      </c>
      <c r="M28" s="10">
        <f>L28/K10</f>
        <v>0</v>
      </c>
    </row>
    <row r="29" spans="1:13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24" t="s">
        <v>76</v>
      </c>
      <c r="E29" s="18"/>
      <c r="F29" s="18"/>
      <c r="G29" s="1" t="s">
        <v>76</v>
      </c>
      <c r="H29" s="19" t="b">
        <f t="shared" si="0"/>
        <v>1</v>
      </c>
      <c r="J29" s="7" t="s">
        <v>76</v>
      </c>
      <c r="K29" s="7" t="s">
        <v>245</v>
      </c>
      <c r="L29" s="7">
        <f t="shared" si="5"/>
        <v>0</v>
      </c>
      <c r="M29" s="10">
        <f>L29/K12</f>
        <v>0</v>
      </c>
    </row>
    <row r="30" spans="1:13" x14ac:dyDescent="0.3">
      <c r="A30" s="1">
        <v>99</v>
      </c>
      <c r="B30" s="17" t="s">
        <v>320</v>
      </c>
      <c r="C30" s="13" t="str" cm="1">
        <f t="array" ref="C30">_xlfn.IFS(LEN(B30) &lt;= 25, "Short", AND(LEN(B30) &gt; 25, LEN(B30) &lt;= 50), "Medium", LEN(B30) &gt; 50, "Long")</f>
        <v>Short</v>
      </c>
      <c r="D30" s="24" t="s">
        <v>81</v>
      </c>
      <c r="E30" s="18"/>
      <c r="F30" s="18"/>
      <c r="G30" s="1" t="s">
        <v>81</v>
      </c>
      <c r="H30" s="19" t="b">
        <f t="shared" si="0"/>
        <v>1</v>
      </c>
      <c r="J30" s="7" t="s">
        <v>245</v>
      </c>
      <c r="K30" s="7" t="s">
        <v>76</v>
      </c>
      <c r="L30" s="7">
        <f t="shared" si="5"/>
        <v>0</v>
      </c>
      <c r="M30" s="10">
        <f>L30/K10</f>
        <v>0</v>
      </c>
    </row>
    <row r="31" spans="1:13" x14ac:dyDescent="0.3">
      <c r="A31" s="1">
        <v>100</v>
      </c>
      <c r="B31" s="17" t="s">
        <v>321</v>
      </c>
      <c r="C31" s="13" t="str" cm="1">
        <f t="array" ref="C31">_xlfn.IFS(LEN(B31) &lt;= 25, "Short", AND(LEN(B31) &gt; 25, LEN(B31) &lt;= 50), "Medium", LEN(B31) &gt; 50, "Long")</f>
        <v>Medium</v>
      </c>
      <c r="D31" s="24" t="s">
        <v>77</v>
      </c>
      <c r="E31" s="18"/>
      <c r="F31" s="18"/>
      <c r="G31" s="1" t="s">
        <v>77</v>
      </c>
      <c r="H31" s="19" t="b">
        <f t="shared" si="0"/>
        <v>1</v>
      </c>
      <c r="J31" s="7" t="s">
        <v>76</v>
      </c>
      <c r="K31" s="7" t="s">
        <v>80</v>
      </c>
      <c r="L31" s="7">
        <f t="shared" si="5"/>
        <v>0</v>
      </c>
      <c r="M31" s="10">
        <f>L31/K12</f>
        <v>0</v>
      </c>
    </row>
    <row r="32" spans="1:13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24" t="s">
        <v>252</v>
      </c>
      <c r="E32" s="18"/>
      <c r="F32" s="18"/>
      <c r="G32" s="1" t="s">
        <v>252</v>
      </c>
      <c r="H32" s="19" t="b">
        <f t="shared" si="0"/>
        <v>1</v>
      </c>
      <c r="J32" s="7" t="s">
        <v>80</v>
      </c>
      <c r="K32" s="7" t="s">
        <v>76</v>
      </c>
      <c r="L32" s="7">
        <f t="shared" si="5"/>
        <v>0</v>
      </c>
      <c r="M32" s="10">
        <f>L32/K11</f>
        <v>0</v>
      </c>
    </row>
    <row r="33" spans="1:8" x14ac:dyDescent="0.3">
      <c r="A33" s="1">
        <v>102</v>
      </c>
      <c r="B33" s="17" t="s">
        <v>322</v>
      </c>
      <c r="C33" s="13" t="str" cm="1">
        <f t="array" ref="C33">_xlfn.IFS(LEN(B33) &lt;= 25, "Short", AND(LEN(B33) &gt; 25, LEN(B33) &lt;= 50), "Medium", LEN(B33) &gt; 50, "Long")</f>
        <v>Long</v>
      </c>
      <c r="D33" s="24" t="s">
        <v>79</v>
      </c>
      <c r="E33" s="18"/>
      <c r="F33" s="18"/>
      <c r="G33" s="1" t="s">
        <v>79</v>
      </c>
      <c r="H33" s="19" t="b">
        <f t="shared" si="0"/>
        <v>1</v>
      </c>
    </row>
    <row r="34" spans="1:8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24" t="s">
        <v>80</v>
      </c>
      <c r="E34" s="18"/>
      <c r="F34" s="18"/>
      <c r="G34" s="1" t="s">
        <v>80</v>
      </c>
      <c r="H34" s="19" t="b">
        <f t="shared" si="0"/>
        <v>1</v>
      </c>
    </row>
    <row r="35" spans="1:8" x14ac:dyDescent="0.3">
      <c r="A35" s="1">
        <v>104</v>
      </c>
      <c r="B35" s="17" t="s">
        <v>287</v>
      </c>
      <c r="C35" s="13" t="str" cm="1">
        <f t="array" ref="C35">_xlfn.IFS(LEN(B35) &lt;= 25, "Short", AND(LEN(B35) &gt; 25, LEN(B35) &lt;= 50), "Medium", LEN(B35) &gt; 50, "Long")</f>
        <v>Long</v>
      </c>
      <c r="D35" s="24" t="s">
        <v>81</v>
      </c>
      <c r="E35" s="18"/>
      <c r="F35" s="18"/>
      <c r="G35" s="1" t="s">
        <v>252</v>
      </c>
      <c r="H35" s="19" t="b">
        <f t="shared" si="0"/>
        <v>0</v>
      </c>
    </row>
    <row r="36" spans="1:8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24" t="s">
        <v>76</v>
      </c>
      <c r="E36" s="18"/>
      <c r="F36" s="18"/>
      <c r="G36" s="1" t="s">
        <v>76</v>
      </c>
      <c r="H36" s="19" t="b">
        <f t="shared" si="0"/>
        <v>1</v>
      </c>
    </row>
    <row r="37" spans="1:8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24" t="s">
        <v>76</v>
      </c>
      <c r="E37" s="18"/>
      <c r="F37" s="18"/>
      <c r="G37" s="1" t="s">
        <v>76</v>
      </c>
      <c r="H37" s="19" t="b">
        <f t="shared" si="0"/>
        <v>1</v>
      </c>
    </row>
    <row r="38" spans="1:8" x14ac:dyDescent="0.3">
      <c r="A38" s="1">
        <v>107</v>
      </c>
      <c r="B38" s="17" t="s">
        <v>323</v>
      </c>
      <c r="C38" s="13" t="str" cm="1">
        <f t="array" ref="C38">_xlfn.IFS(LEN(B38) &lt;= 25, "Short", AND(LEN(B38) &gt; 25, LEN(B38) &lt;= 50), "Medium", LEN(B38) &gt; 50, "Long")</f>
        <v>Short</v>
      </c>
      <c r="D38" s="24" t="s">
        <v>81</v>
      </c>
      <c r="E38" s="18"/>
      <c r="F38" s="18"/>
      <c r="G38" s="1" t="s">
        <v>81</v>
      </c>
      <c r="H38" s="19" t="b">
        <f t="shared" si="0"/>
        <v>1</v>
      </c>
    </row>
    <row r="39" spans="1:8" x14ac:dyDescent="0.3">
      <c r="A39" s="1">
        <v>108</v>
      </c>
      <c r="B39" s="17" t="s">
        <v>324</v>
      </c>
      <c r="C39" s="13" t="str" cm="1">
        <f t="array" ref="C39">_xlfn.IFS(LEN(B39) &lt;= 25, "Short", AND(LEN(B39) &gt; 25, LEN(B39) &lt;= 50), "Medium", LEN(B39) &gt; 50, "Long")</f>
        <v>Long</v>
      </c>
      <c r="D39" s="24" t="s">
        <v>77</v>
      </c>
      <c r="E39" s="18"/>
      <c r="F39" s="18"/>
      <c r="G39" s="1" t="s">
        <v>82</v>
      </c>
      <c r="H39" s="19" t="b">
        <f t="shared" si="0"/>
        <v>0</v>
      </c>
    </row>
    <row r="40" spans="1:8" x14ac:dyDescent="0.3">
      <c r="A40" s="1">
        <v>109</v>
      </c>
      <c r="B40" s="17" t="s">
        <v>325</v>
      </c>
      <c r="C40" s="13" t="str" cm="1">
        <f t="array" ref="C40">_xlfn.IFS(LEN(B40) &lt;= 25, "Short", AND(LEN(B40) &gt; 25, LEN(B40) &lt;= 50), "Medium", LEN(B40) &gt; 50, "Long")</f>
        <v>Long</v>
      </c>
      <c r="D40" s="24" t="s">
        <v>77</v>
      </c>
      <c r="E40" s="18"/>
      <c r="F40" s="18"/>
      <c r="G40" s="1" t="s">
        <v>82</v>
      </c>
      <c r="H40" s="19" t="b">
        <f t="shared" si="0"/>
        <v>0</v>
      </c>
    </row>
    <row r="41" spans="1:8" x14ac:dyDescent="0.3">
      <c r="A41" s="1">
        <v>110</v>
      </c>
      <c r="B41" s="17" t="s">
        <v>326</v>
      </c>
      <c r="C41" s="13" t="str" cm="1">
        <f t="array" ref="C41">_xlfn.IFS(LEN(B41) &lt;= 25, "Short", AND(LEN(B41) &gt; 25, LEN(B41) &lt;= 50), "Medium", LEN(B41) &gt; 50, "Long")</f>
        <v>Short</v>
      </c>
      <c r="D41" s="24" t="s">
        <v>77</v>
      </c>
      <c r="E41" s="18"/>
      <c r="F41" s="18"/>
      <c r="G41" s="1" t="s">
        <v>77</v>
      </c>
      <c r="H41" s="19" t="b">
        <f t="shared" si="0"/>
        <v>1</v>
      </c>
    </row>
    <row r="42" spans="1:8" x14ac:dyDescent="0.3">
      <c r="A42" s="1">
        <v>111</v>
      </c>
      <c r="B42" s="17" t="s">
        <v>327</v>
      </c>
      <c r="C42" s="13" t="str" cm="1">
        <f t="array" ref="C42">_xlfn.IFS(LEN(B42) &lt;= 25, "Short", AND(LEN(B42) &gt; 25, LEN(B42) &lt;= 50), "Medium", LEN(B42) &gt; 50, "Long")</f>
        <v>Long</v>
      </c>
      <c r="D42" s="24" t="s">
        <v>77</v>
      </c>
      <c r="E42" s="18"/>
      <c r="F42" s="18"/>
      <c r="G42" s="1" t="s">
        <v>80</v>
      </c>
      <c r="H42" s="19" t="b">
        <f t="shared" si="0"/>
        <v>0</v>
      </c>
    </row>
    <row r="43" spans="1:8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24" t="s">
        <v>76</v>
      </c>
      <c r="E43" s="18"/>
      <c r="F43" s="18"/>
      <c r="G43" s="1" t="s">
        <v>76</v>
      </c>
      <c r="H43" s="19" t="b">
        <f t="shared" si="0"/>
        <v>1</v>
      </c>
    </row>
    <row r="44" spans="1:8" x14ac:dyDescent="0.3">
      <c r="A44" s="1">
        <v>113</v>
      </c>
      <c r="B44" s="17" t="s">
        <v>328</v>
      </c>
      <c r="C44" s="13" t="str" cm="1">
        <f t="array" ref="C44">_xlfn.IFS(LEN(B44) &lt;= 25, "Short", AND(LEN(B44) &gt; 25, LEN(B44) &lt;= 50), "Medium", LEN(B44) &gt; 50, "Long")</f>
        <v>Medium</v>
      </c>
      <c r="D44" s="24" t="s">
        <v>252</v>
      </c>
      <c r="E44" s="18"/>
      <c r="F44" s="18"/>
      <c r="G44" s="1" t="s">
        <v>252</v>
      </c>
      <c r="H44" s="19" t="b">
        <f t="shared" si="0"/>
        <v>1</v>
      </c>
    </row>
    <row r="45" spans="1:8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24" t="s">
        <v>79</v>
      </c>
      <c r="E45" s="18"/>
      <c r="F45" s="18"/>
      <c r="G45" s="1" t="s">
        <v>79</v>
      </c>
      <c r="H45" s="19" t="b">
        <f t="shared" si="0"/>
        <v>1</v>
      </c>
    </row>
    <row r="46" spans="1:8" x14ac:dyDescent="0.3">
      <c r="A46" s="1">
        <v>115</v>
      </c>
      <c r="B46" s="17" t="s">
        <v>329</v>
      </c>
      <c r="C46" s="13" t="str" cm="1">
        <f t="array" ref="C46">_xlfn.IFS(LEN(B46) &lt;= 25, "Short", AND(LEN(B46) &gt; 25, LEN(B46) &lt;= 50), "Medium", LEN(B46) &gt; 50, "Long")</f>
        <v>Long</v>
      </c>
      <c r="D46" s="24" t="s">
        <v>252</v>
      </c>
      <c r="E46" s="18"/>
      <c r="F46" s="18"/>
      <c r="G46" s="1" t="s">
        <v>252</v>
      </c>
      <c r="H46" s="19" t="b">
        <f t="shared" si="0"/>
        <v>1</v>
      </c>
    </row>
    <row r="47" spans="1:8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24" t="s">
        <v>76</v>
      </c>
      <c r="E47" s="18"/>
      <c r="F47" s="18"/>
      <c r="G47" s="1" t="s">
        <v>76</v>
      </c>
      <c r="H47" s="19" t="b">
        <f t="shared" si="0"/>
        <v>1</v>
      </c>
    </row>
    <row r="48" spans="1:8" x14ac:dyDescent="0.3">
      <c r="A48" s="1">
        <v>117</v>
      </c>
      <c r="B48" s="17" t="s">
        <v>330</v>
      </c>
      <c r="C48" s="13" t="str" cm="1">
        <f t="array" ref="C48">_xlfn.IFS(LEN(B48) &lt;= 25, "Short", AND(LEN(B48) &gt; 25, LEN(B48) &lt;= 50), "Medium", LEN(B48) &gt; 50, "Long")</f>
        <v>Short</v>
      </c>
      <c r="D48" s="24" t="s">
        <v>81</v>
      </c>
      <c r="E48" s="18"/>
      <c r="F48" s="18"/>
      <c r="G48" s="1" t="s">
        <v>81</v>
      </c>
      <c r="H48" s="19" t="b">
        <f t="shared" si="0"/>
        <v>1</v>
      </c>
    </row>
    <row r="49" spans="1:8" x14ac:dyDescent="0.3">
      <c r="A49" s="1">
        <v>118</v>
      </c>
      <c r="B49" s="17" t="s">
        <v>331</v>
      </c>
      <c r="C49" s="13" t="str" cm="1">
        <f t="array" ref="C49">_xlfn.IFS(LEN(B49) &lt;= 25, "Short", AND(LEN(B49) &gt; 25, LEN(B49) &lt;= 50), "Medium", LEN(B49) &gt; 50, "Long")</f>
        <v>Short</v>
      </c>
      <c r="D49" s="24" t="s">
        <v>76</v>
      </c>
      <c r="E49" s="18"/>
      <c r="F49" s="18"/>
      <c r="G49" s="1" t="s">
        <v>76</v>
      </c>
      <c r="H49" s="19" t="b">
        <f t="shared" si="0"/>
        <v>1</v>
      </c>
    </row>
    <row r="50" spans="1:8" x14ac:dyDescent="0.3">
      <c r="A50" s="1">
        <v>119</v>
      </c>
      <c r="B50" s="17" t="s">
        <v>332</v>
      </c>
      <c r="C50" s="13" t="str" cm="1">
        <f t="array" ref="C50">_xlfn.IFS(LEN(B50) &lt;= 25, "Short", AND(LEN(B50) &gt; 25, LEN(B50) &lt;= 50), "Medium", LEN(B50) &gt; 50, "Long")</f>
        <v>Short</v>
      </c>
      <c r="D50" s="24" t="s">
        <v>81</v>
      </c>
      <c r="E50" s="18"/>
      <c r="F50" s="18"/>
      <c r="G50" s="1" t="s">
        <v>81</v>
      </c>
      <c r="H50" s="19" t="b">
        <f t="shared" si="0"/>
        <v>1</v>
      </c>
    </row>
    <row r="51" spans="1:8" x14ac:dyDescent="0.3">
      <c r="A51" s="1">
        <v>120</v>
      </c>
      <c r="B51" s="17" t="s">
        <v>333</v>
      </c>
      <c r="C51" s="13" t="str" cm="1">
        <f t="array" ref="C51">_xlfn.IFS(LEN(B51) &lt;= 25, "Short", AND(LEN(B51) &gt; 25, LEN(B51) &lt;= 50), "Medium", LEN(B51) &gt; 50, "Long")</f>
        <v>Short</v>
      </c>
      <c r="D51" s="24" t="s">
        <v>252</v>
      </c>
      <c r="E51" s="18"/>
      <c r="F51" s="18"/>
      <c r="G51" s="1" t="s">
        <v>80</v>
      </c>
      <c r="H51" s="19" t="b">
        <f t="shared" si="0"/>
        <v>0</v>
      </c>
    </row>
    <row r="52" spans="1:8" x14ac:dyDescent="0.3">
      <c r="A52" s="1">
        <v>121</v>
      </c>
      <c r="B52" s="17" t="s">
        <v>334</v>
      </c>
      <c r="C52" s="13" t="str" cm="1">
        <f t="array" ref="C52">_xlfn.IFS(LEN(B52) &lt;= 25, "Short", AND(LEN(B52) &gt; 25, LEN(B52) &lt;= 50), "Medium", LEN(B52) &gt; 50, "Long")</f>
        <v>Short</v>
      </c>
      <c r="D52" s="24" t="s">
        <v>77</v>
      </c>
      <c r="E52" s="18"/>
      <c r="F52" s="18"/>
      <c r="G52" s="1" t="s">
        <v>77</v>
      </c>
      <c r="H52" s="19" t="b">
        <f t="shared" si="0"/>
        <v>1</v>
      </c>
    </row>
    <row r="53" spans="1:8" x14ac:dyDescent="0.3">
      <c r="A53" s="1">
        <v>122</v>
      </c>
      <c r="B53" s="17" t="s">
        <v>335</v>
      </c>
      <c r="C53" s="13" t="str" cm="1">
        <f t="array" ref="C53">_xlfn.IFS(LEN(B53) &lt;= 25, "Short", AND(LEN(B53) &gt; 25, LEN(B53) &lt;= 50), "Medium", LEN(B53) &gt; 50, "Long")</f>
        <v>Short</v>
      </c>
      <c r="D53" s="24" t="s">
        <v>76</v>
      </c>
      <c r="E53" s="18"/>
      <c r="F53" s="18"/>
      <c r="G53" s="1" t="s">
        <v>76</v>
      </c>
      <c r="H53" s="19" t="b">
        <f t="shared" si="0"/>
        <v>1</v>
      </c>
    </row>
    <row r="54" spans="1:8" x14ac:dyDescent="0.3">
      <c r="A54" s="1">
        <v>123</v>
      </c>
      <c r="B54" s="17" t="s">
        <v>336</v>
      </c>
      <c r="C54" s="13" t="str" cm="1">
        <f t="array" ref="C54">_xlfn.IFS(LEN(B54) &lt;= 25, "Short", AND(LEN(B54) &gt; 25, LEN(B54) &lt;= 50), "Medium", LEN(B54) &gt; 50, "Long")</f>
        <v>Medium</v>
      </c>
      <c r="D54" s="24" t="s">
        <v>79</v>
      </c>
      <c r="E54" s="18"/>
      <c r="F54" s="18"/>
      <c r="G54" s="1" t="s">
        <v>79</v>
      </c>
      <c r="H54" s="19" t="b">
        <f t="shared" si="0"/>
        <v>1</v>
      </c>
    </row>
    <row r="55" spans="1:8" x14ac:dyDescent="0.3">
      <c r="A55" s="1">
        <v>124</v>
      </c>
      <c r="B55" s="17" t="s">
        <v>337</v>
      </c>
      <c r="C55" s="13" t="str" cm="1">
        <f t="array" ref="C55">_xlfn.IFS(LEN(B55) &lt;= 25, "Short", AND(LEN(B55) &gt; 25, LEN(B55) &lt;= 50), "Medium", LEN(B55) &gt; 50, "Long")</f>
        <v>Medium</v>
      </c>
      <c r="D55" s="24" t="s">
        <v>77</v>
      </c>
      <c r="E55" s="18"/>
      <c r="F55" s="18"/>
      <c r="G55" s="1" t="s">
        <v>82</v>
      </c>
      <c r="H55" s="19" t="b">
        <f t="shared" si="0"/>
        <v>0</v>
      </c>
    </row>
    <row r="56" spans="1:8" x14ac:dyDescent="0.3">
      <c r="A56" s="1">
        <v>125</v>
      </c>
      <c r="B56" s="17" t="s">
        <v>338</v>
      </c>
      <c r="C56" s="13" t="str" cm="1">
        <f t="array" ref="C56">_xlfn.IFS(LEN(B56) &lt;= 25, "Short", AND(LEN(B56) &gt; 25, LEN(B56) &lt;= 50), "Medium", LEN(B56) &gt; 50, "Long")</f>
        <v>Short</v>
      </c>
      <c r="D56" s="24" t="s">
        <v>77</v>
      </c>
      <c r="E56" s="18"/>
      <c r="F56" s="18"/>
      <c r="G56" s="1" t="s">
        <v>81</v>
      </c>
      <c r="H56" s="19" t="b">
        <f t="shared" si="0"/>
        <v>0</v>
      </c>
    </row>
    <row r="57" spans="1:8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24" t="s">
        <v>76</v>
      </c>
      <c r="E57" s="18"/>
      <c r="F57" s="18"/>
      <c r="G57" s="1" t="s">
        <v>76</v>
      </c>
      <c r="H57" s="19" t="b">
        <f t="shared" si="0"/>
        <v>1</v>
      </c>
    </row>
    <row r="58" spans="1:8" x14ac:dyDescent="0.3">
      <c r="A58" s="1">
        <v>127</v>
      </c>
      <c r="B58" s="17" t="s">
        <v>339</v>
      </c>
      <c r="C58" s="13" t="str" cm="1">
        <f t="array" ref="C58">_xlfn.IFS(LEN(B58) &lt;= 25, "Short", AND(LEN(B58) &gt; 25, LEN(B58) &lt;= 50), "Medium", LEN(B58) &gt; 50, "Long")</f>
        <v>Medium</v>
      </c>
      <c r="D58" s="24" t="s">
        <v>81</v>
      </c>
      <c r="E58" s="18"/>
      <c r="F58" s="18"/>
      <c r="G58" s="1" t="s">
        <v>81</v>
      </c>
      <c r="H58" s="19" t="b">
        <f t="shared" si="0"/>
        <v>1</v>
      </c>
    </row>
    <row r="59" spans="1:8" x14ac:dyDescent="0.3">
      <c r="A59" s="1">
        <v>128</v>
      </c>
      <c r="B59" s="17" t="s">
        <v>340</v>
      </c>
      <c r="C59" s="13" t="str" cm="1">
        <f t="array" ref="C59">_xlfn.IFS(LEN(B59) &lt;= 25, "Short", AND(LEN(B59) &gt; 25, LEN(B59) &lt;= 50), "Medium", LEN(B59) &gt; 50, "Long")</f>
        <v>Long</v>
      </c>
      <c r="D59" s="24" t="s">
        <v>79</v>
      </c>
      <c r="E59" s="18"/>
      <c r="F59" s="18"/>
      <c r="G59" s="1" t="s">
        <v>79</v>
      </c>
      <c r="H59" s="19" t="b">
        <f t="shared" si="0"/>
        <v>1</v>
      </c>
    </row>
    <row r="60" spans="1:8" x14ac:dyDescent="0.3">
      <c r="A60" s="1">
        <v>129</v>
      </c>
      <c r="B60" s="17" t="s">
        <v>341</v>
      </c>
      <c r="C60" s="13" t="str" cm="1">
        <f t="array" ref="C60">_xlfn.IFS(LEN(B60) &lt;= 25, "Short", AND(LEN(B60) &gt; 25, LEN(B60) &lt;= 50), "Medium", LEN(B60) &gt; 50, "Long")</f>
        <v>Long</v>
      </c>
      <c r="D60" s="24" t="s">
        <v>79</v>
      </c>
      <c r="E60" s="18"/>
      <c r="F60" s="18"/>
      <c r="G60" s="1" t="s">
        <v>79</v>
      </c>
      <c r="H60" s="19" t="b">
        <f t="shared" si="0"/>
        <v>1</v>
      </c>
    </row>
    <row r="61" spans="1:8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24" t="s">
        <v>76</v>
      </c>
      <c r="E61" s="18"/>
      <c r="F61" s="18"/>
      <c r="G61" s="1" t="s">
        <v>76</v>
      </c>
      <c r="H61" s="19" t="b">
        <f t="shared" si="0"/>
        <v>1</v>
      </c>
    </row>
    <row r="62" spans="1:8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24" t="s">
        <v>252</v>
      </c>
      <c r="E62" s="18"/>
      <c r="F62" s="18"/>
      <c r="G62" s="1" t="s">
        <v>252</v>
      </c>
      <c r="H62" s="19" t="b">
        <f t="shared" si="0"/>
        <v>1</v>
      </c>
    </row>
    <row r="63" spans="1:8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24" t="s">
        <v>79</v>
      </c>
      <c r="E63" s="18"/>
      <c r="F63" s="18"/>
      <c r="G63" s="1" t="s">
        <v>79</v>
      </c>
      <c r="H63" s="19" t="b">
        <f t="shared" si="0"/>
        <v>1</v>
      </c>
    </row>
    <row r="64" spans="1:8" x14ac:dyDescent="0.3">
      <c r="A64" s="1">
        <v>133</v>
      </c>
      <c r="B64" s="17" t="s">
        <v>342</v>
      </c>
      <c r="C64" s="13" t="str" cm="1">
        <f t="array" ref="C64">_xlfn.IFS(LEN(B64) &lt;= 25, "Short", AND(LEN(B64) &gt; 25, LEN(B64) &lt;= 50), "Medium", LEN(B64) &gt; 50, "Long")</f>
        <v>Long</v>
      </c>
      <c r="D64" s="24" t="s">
        <v>77</v>
      </c>
      <c r="E64" s="18"/>
      <c r="F64" s="18"/>
      <c r="G64" s="1" t="s">
        <v>82</v>
      </c>
      <c r="H64" s="19" t="b">
        <f t="shared" si="0"/>
        <v>0</v>
      </c>
    </row>
    <row r="65" spans="1:8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24" t="s">
        <v>81</v>
      </c>
      <c r="E65" s="18"/>
      <c r="F65" s="18"/>
      <c r="G65" s="1" t="s">
        <v>81</v>
      </c>
      <c r="H65" s="19" t="b">
        <f t="shared" si="0"/>
        <v>1</v>
      </c>
    </row>
    <row r="66" spans="1:8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24" t="s">
        <v>80</v>
      </c>
      <c r="E66" s="18"/>
      <c r="F66" s="18"/>
      <c r="G66" s="1" t="s">
        <v>80</v>
      </c>
      <c r="H66" s="19" t="b">
        <f t="shared" si="0"/>
        <v>1</v>
      </c>
    </row>
    <row r="67" spans="1:8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24" t="s">
        <v>81</v>
      </c>
      <c r="E67" s="18"/>
      <c r="F67" s="18"/>
      <c r="G67" s="1" t="s">
        <v>81</v>
      </c>
      <c r="H67" s="19" t="b">
        <f t="shared" ref="H67:H130" si="6">IF(OR(D67=G67, E67=G67, F67=G67), TRUE, FALSE)</f>
        <v>1</v>
      </c>
    </row>
    <row r="68" spans="1:8" x14ac:dyDescent="0.3">
      <c r="A68" s="1">
        <v>137</v>
      </c>
      <c r="B68" s="17" t="s">
        <v>343</v>
      </c>
      <c r="C68" s="13" t="str" cm="1">
        <f t="array" ref="C68">_xlfn.IFS(LEN(B68) &lt;= 25, "Short", AND(LEN(B68) &gt; 25, LEN(B68) &lt;= 50), "Medium", LEN(B68) &gt; 50, "Long")</f>
        <v>Medium</v>
      </c>
      <c r="D68" s="24" t="s">
        <v>77</v>
      </c>
      <c r="E68" s="18"/>
      <c r="F68" s="18"/>
      <c r="G68" s="1" t="s">
        <v>82</v>
      </c>
      <c r="H68" s="19" t="b">
        <f t="shared" si="6"/>
        <v>0</v>
      </c>
    </row>
    <row r="69" spans="1:8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24" t="s">
        <v>80</v>
      </c>
      <c r="E69" s="18"/>
      <c r="F69" s="18"/>
      <c r="G69" s="1" t="s">
        <v>80</v>
      </c>
      <c r="H69" s="19" t="b">
        <f t="shared" si="6"/>
        <v>1</v>
      </c>
    </row>
    <row r="70" spans="1:8" x14ac:dyDescent="0.3">
      <c r="A70" s="1">
        <v>139</v>
      </c>
      <c r="B70" s="17" t="s">
        <v>344</v>
      </c>
      <c r="C70" s="13" t="str" cm="1">
        <f t="array" ref="C70">_xlfn.IFS(LEN(B70) &lt;= 25, "Short", AND(LEN(B70) &gt; 25, LEN(B70) &lt;= 50), "Medium", LEN(B70) &gt; 50, "Long")</f>
        <v>Short</v>
      </c>
      <c r="D70" s="24" t="s">
        <v>252</v>
      </c>
      <c r="E70" s="18"/>
      <c r="F70" s="18"/>
      <c r="G70" s="1" t="s">
        <v>252</v>
      </c>
      <c r="H70" s="19" t="b">
        <f t="shared" si="6"/>
        <v>1</v>
      </c>
    </row>
    <row r="71" spans="1:8" x14ac:dyDescent="0.3">
      <c r="A71" s="1">
        <v>140</v>
      </c>
      <c r="B71" s="17" t="s">
        <v>345</v>
      </c>
      <c r="C71" s="13" t="str" cm="1">
        <f t="array" ref="C71">_xlfn.IFS(LEN(B71) &lt;= 25, "Short", AND(LEN(B71) &gt; 25, LEN(B71) &lt;= 50), "Medium", LEN(B71) &gt; 50, "Long")</f>
        <v>Medium</v>
      </c>
      <c r="D71" s="24" t="s">
        <v>81</v>
      </c>
      <c r="E71" s="18"/>
      <c r="F71" s="18"/>
      <c r="G71" s="1" t="s">
        <v>81</v>
      </c>
      <c r="H71" s="19" t="b">
        <f t="shared" si="6"/>
        <v>1</v>
      </c>
    </row>
    <row r="72" spans="1:8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24" t="s">
        <v>252</v>
      </c>
      <c r="E72" s="18"/>
      <c r="F72" s="18"/>
      <c r="G72" s="1" t="s">
        <v>252</v>
      </c>
      <c r="H72" s="19" t="b">
        <f t="shared" si="6"/>
        <v>1</v>
      </c>
    </row>
    <row r="73" spans="1:8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24" t="s">
        <v>252</v>
      </c>
      <c r="E73" s="18"/>
      <c r="F73" s="18"/>
      <c r="G73" s="1" t="s">
        <v>252</v>
      </c>
      <c r="H73" s="19" t="b">
        <f t="shared" si="6"/>
        <v>1</v>
      </c>
    </row>
    <row r="74" spans="1:8" x14ac:dyDescent="0.3">
      <c r="A74" s="1">
        <v>143</v>
      </c>
      <c r="B74" s="17" t="s">
        <v>346</v>
      </c>
      <c r="C74" s="13" t="str" cm="1">
        <f t="array" ref="C74">_xlfn.IFS(LEN(B74) &lt;= 25, "Short", AND(LEN(B74) &gt; 25, LEN(B74) &lt;= 50), "Medium", LEN(B74) &gt; 50, "Long")</f>
        <v>Short</v>
      </c>
      <c r="D74" s="24" t="s">
        <v>77</v>
      </c>
      <c r="E74" s="18"/>
      <c r="F74" s="18"/>
      <c r="G74" s="1" t="s">
        <v>82</v>
      </c>
      <c r="H74" s="19" t="b">
        <f t="shared" si="6"/>
        <v>0</v>
      </c>
    </row>
    <row r="75" spans="1:8" x14ac:dyDescent="0.3">
      <c r="A75" s="1">
        <v>144</v>
      </c>
      <c r="B75" s="17" t="s">
        <v>347</v>
      </c>
      <c r="C75" s="13" t="str" cm="1">
        <f t="array" ref="C75">_xlfn.IFS(LEN(B75) &lt;= 25, "Short", AND(LEN(B75) &gt; 25, LEN(B75) &lt;= 50), "Medium", LEN(B75) &gt; 50, "Long")</f>
        <v>Short</v>
      </c>
      <c r="D75" s="24" t="s">
        <v>77</v>
      </c>
      <c r="E75" s="18"/>
      <c r="F75" s="18"/>
      <c r="G75" s="1" t="s">
        <v>77</v>
      </c>
      <c r="H75" s="19" t="b">
        <f t="shared" si="6"/>
        <v>1</v>
      </c>
    </row>
    <row r="76" spans="1:8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24" t="s">
        <v>79</v>
      </c>
      <c r="E76" s="18"/>
      <c r="F76" s="18"/>
      <c r="G76" s="1" t="s">
        <v>79</v>
      </c>
      <c r="H76" s="19" t="b">
        <f t="shared" si="6"/>
        <v>1</v>
      </c>
    </row>
    <row r="77" spans="1:8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24" t="s">
        <v>77</v>
      </c>
      <c r="E77" s="18"/>
      <c r="F77" s="18"/>
      <c r="G77" s="1" t="s">
        <v>82</v>
      </c>
      <c r="H77" s="19" t="b">
        <f t="shared" si="6"/>
        <v>0</v>
      </c>
    </row>
    <row r="78" spans="1:8" x14ac:dyDescent="0.3">
      <c r="A78" s="1">
        <v>147</v>
      </c>
      <c r="B78" s="17" t="s">
        <v>348</v>
      </c>
      <c r="C78" s="13" t="str" cm="1">
        <f t="array" ref="C78">_xlfn.IFS(LEN(B78) &lt;= 25, "Short", AND(LEN(B78) &gt; 25, LEN(B78) &lt;= 50), "Medium", LEN(B78) &gt; 50, "Long")</f>
        <v>Short</v>
      </c>
      <c r="D78" s="24" t="s">
        <v>81</v>
      </c>
      <c r="E78" s="18"/>
      <c r="F78" s="18"/>
      <c r="G78" s="1" t="s">
        <v>81</v>
      </c>
      <c r="H78" s="19" t="b">
        <f t="shared" si="6"/>
        <v>1</v>
      </c>
    </row>
    <row r="79" spans="1:8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24" t="s">
        <v>81</v>
      </c>
      <c r="E79" s="18"/>
      <c r="F79" s="18"/>
      <c r="G79" s="1" t="s">
        <v>81</v>
      </c>
      <c r="H79" s="19" t="b">
        <f t="shared" si="6"/>
        <v>1</v>
      </c>
    </row>
    <row r="80" spans="1:8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24" t="s">
        <v>81</v>
      </c>
      <c r="E80" s="18"/>
      <c r="F80" s="18"/>
      <c r="G80" s="1" t="s">
        <v>81</v>
      </c>
      <c r="H80" s="19" t="b">
        <f t="shared" si="6"/>
        <v>1</v>
      </c>
    </row>
    <row r="81" spans="1:8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24" t="s">
        <v>79</v>
      </c>
      <c r="E81" s="18"/>
      <c r="F81" s="18"/>
      <c r="G81" s="1" t="s">
        <v>79</v>
      </c>
      <c r="H81" s="19" t="b">
        <f t="shared" si="6"/>
        <v>1</v>
      </c>
    </row>
    <row r="82" spans="1:8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24" t="s">
        <v>80</v>
      </c>
      <c r="E82" s="18"/>
      <c r="F82" s="18"/>
      <c r="G82" s="1" t="s">
        <v>80</v>
      </c>
      <c r="H82" s="19" t="b">
        <f t="shared" si="6"/>
        <v>1</v>
      </c>
    </row>
    <row r="83" spans="1:8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24" t="s">
        <v>81</v>
      </c>
      <c r="E83" s="18"/>
      <c r="F83" s="18"/>
      <c r="G83" s="1" t="s">
        <v>81</v>
      </c>
      <c r="H83" s="19" t="b">
        <f t="shared" si="6"/>
        <v>1</v>
      </c>
    </row>
    <row r="84" spans="1:8" x14ac:dyDescent="0.3">
      <c r="A84" s="1">
        <v>153</v>
      </c>
      <c r="B84" s="17" t="s">
        <v>349</v>
      </c>
      <c r="C84" s="13" t="str" cm="1">
        <f t="array" ref="C84">_xlfn.IFS(LEN(B84) &lt;= 25, "Short", AND(LEN(B84) &gt; 25, LEN(B84) &lt;= 50), "Medium", LEN(B84) &gt; 50, "Long")</f>
        <v>Medium</v>
      </c>
      <c r="D84" s="24" t="s">
        <v>77</v>
      </c>
      <c r="E84" s="18"/>
      <c r="F84" s="18"/>
      <c r="G84" s="1" t="s">
        <v>252</v>
      </c>
      <c r="H84" s="19" t="b">
        <f t="shared" si="6"/>
        <v>0</v>
      </c>
    </row>
    <row r="85" spans="1:8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24" t="s">
        <v>79</v>
      </c>
      <c r="E85" s="18"/>
      <c r="F85" s="18"/>
      <c r="G85" s="1" t="s">
        <v>77</v>
      </c>
      <c r="H85" s="19" t="b">
        <f t="shared" si="6"/>
        <v>0</v>
      </c>
    </row>
    <row r="86" spans="1:8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24" t="s">
        <v>77</v>
      </c>
      <c r="E86" s="18"/>
      <c r="F86" s="18"/>
      <c r="G86" s="1" t="s">
        <v>79</v>
      </c>
      <c r="H86" s="19" t="b">
        <f t="shared" si="6"/>
        <v>0</v>
      </c>
    </row>
    <row r="87" spans="1:8" x14ac:dyDescent="0.3">
      <c r="A87" s="1">
        <v>156</v>
      </c>
      <c r="B87" s="17" t="s">
        <v>342</v>
      </c>
      <c r="C87" s="13" t="str" cm="1">
        <f t="array" ref="C87">_xlfn.IFS(LEN(B87) &lt;= 25, "Short", AND(LEN(B87) &gt; 25, LEN(B87) &lt;= 50), "Medium", LEN(B87) &gt; 50, "Long")</f>
        <v>Long</v>
      </c>
      <c r="D87" s="24" t="s">
        <v>77</v>
      </c>
      <c r="E87" s="18"/>
      <c r="F87" s="18"/>
      <c r="G87" s="1" t="s">
        <v>82</v>
      </c>
      <c r="H87" s="19" t="b">
        <f t="shared" si="6"/>
        <v>0</v>
      </c>
    </row>
    <row r="88" spans="1:8" x14ac:dyDescent="0.3">
      <c r="A88" s="1">
        <v>157</v>
      </c>
      <c r="B88" s="17" t="s">
        <v>350</v>
      </c>
      <c r="C88" s="13" t="str" cm="1">
        <f t="array" ref="C88">_xlfn.IFS(LEN(B88) &lt;= 25, "Short", AND(LEN(B88) &gt; 25, LEN(B88) &lt;= 50), "Medium", LEN(B88) &gt; 50, "Long")</f>
        <v>Medium</v>
      </c>
      <c r="D88" s="24" t="s">
        <v>252</v>
      </c>
      <c r="E88" s="18"/>
      <c r="F88" s="18"/>
      <c r="G88" s="1" t="s">
        <v>252</v>
      </c>
      <c r="H88" s="19" t="b">
        <f t="shared" si="6"/>
        <v>1</v>
      </c>
    </row>
    <row r="89" spans="1:8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24" t="s">
        <v>77</v>
      </c>
      <c r="E89" s="18"/>
      <c r="F89" s="18"/>
      <c r="G89" s="1" t="s">
        <v>80</v>
      </c>
      <c r="H89" s="19" t="b">
        <f t="shared" si="6"/>
        <v>0</v>
      </c>
    </row>
    <row r="90" spans="1:8" x14ac:dyDescent="0.3">
      <c r="A90" s="1">
        <v>159</v>
      </c>
      <c r="B90" s="17" t="s">
        <v>351</v>
      </c>
      <c r="C90" s="13" t="str" cm="1">
        <f t="array" ref="C90">_xlfn.IFS(LEN(B90) &lt;= 25, "Short", AND(LEN(B90) &gt; 25, LEN(B90) &lt;= 50), "Medium", LEN(B90) &gt; 50, "Long")</f>
        <v>Medium</v>
      </c>
      <c r="D90" s="24" t="s">
        <v>77</v>
      </c>
      <c r="E90" s="18"/>
      <c r="F90" s="18"/>
      <c r="G90" s="1" t="s">
        <v>82</v>
      </c>
      <c r="H90" s="19" t="b">
        <f t="shared" si="6"/>
        <v>0</v>
      </c>
    </row>
    <row r="91" spans="1:8" x14ac:dyDescent="0.3">
      <c r="A91" s="1">
        <v>160</v>
      </c>
      <c r="B91" s="17" t="s">
        <v>352</v>
      </c>
      <c r="C91" s="13" t="str" cm="1">
        <f t="array" ref="C91">_xlfn.IFS(LEN(B91) &lt;= 25, "Short", AND(LEN(B91) &gt; 25, LEN(B91) &lt;= 50), "Medium", LEN(B91) &gt; 50, "Long")</f>
        <v>Medium</v>
      </c>
      <c r="D91" s="24" t="s">
        <v>79</v>
      </c>
      <c r="E91" s="18"/>
      <c r="F91" s="18"/>
      <c r="G91" s="1" t="s">
        <v>79</v>
      </c>
      <c r="H91" s="19" t="b">
        <f t="shared" si="6"/>
        <v>1</v>
      </c>
    </row>
    <row r="92" spans="1:8" x14ac:dyDescent="0.3">
      <c r="A92" s="1">
        <v>161</v>
      </c>
      <c r="B92" s="17" t="s">
        <v>353</v>
      </c>
      <c r="C92" s="13" t="str" cm="1">
        <f t="array" ref="C92">_xlfn.IFS(LEN(B92) &lt;= 25, "Short", AND(LEN(B92) &gt; 25, LEN(B92) &lt;= 50), "Medium", LEN(B92) &gt; 50, "Long")</f>
        <v>Short</v>
      </c>
      <c r="D92" s="24" t="s">
        <v>77</v>
      </c>
      <c r="E92" s="18"/>
      <c r="F92" s="18"/>
      <c r="G92" s="1" t="s">
        <v>82</v>
      </c>
      <c r="H92" s="19" t="b">
        <f t="shared" si="6"/>
        <v>0</v>
      </c>
    </row>
    <row r="93" spans="1:8" x14ac:dyDescent="0.3">
      <c r="A93" s="1">
        <v>162</v>
      </c>
      <c r="B93" s="17" t="s">
        <v>354</v>
      </c>
      <c r="C93" s="13" t="str" cm="1">
        <f t="array" ref="C93">_xlfn.IFS(LEN(B93) &lt;= 25, "Short", AND(LEN(B93) &gt; 25, LEN(B93) &lt;= 50), "Medium", LEN(B93) &gt; 50, "Long")</f>
        <v>Medium</v>
      </c>
      <c r="D93" s="24" t="s">
        <v>77</v>
      </c>
      <c r="E93" s="18"/>
      <c r="F93" s="18"/>
      <c r="G93" s="1" t="s">
        <v>77</v>
      </c>
      <c r="H93" s="19" t="b">
        <f t="shared" si="6"/>
        <v>1</v>
      </c>
    </row>
    <row r="94" spans="1:8" x14ac:dyDescent="0.3">
      <c r="A94" s="1">
        <v>163</v>
      </c>
      <c r="B94" s="17" t="s">
        <v>355</v>
      </c>
      <c r="C94" s="13" t="str" cm="1">
        <f t="array" ref="C94">_xlfn.IFS(LEN(B94) &lt;= 25, "Short", AND(LEN(B94) &gt; 25, LEN(B94) &lt;= 50), "Medium", LEN(B94) &gt; 50, "Long")</f>
        <v>Medium</v>
      </c>
      <c r="D94" s="24" t="s">
        <v>77</v>
      </c>
      <c r="E94" s="18"/>
      <c r="F94" s="18"/>
      <c r="G94" s="1" t="s">
        <v>77</v>
      </c>
      <c r="H94" s="19" t="b">
        <f t="shared" si="6"/>
        <v>1</v>
      </c>
    </row>
    <row r="95" spans="1:8" x14ac:dyDescent="0.3">
      <c r="A95" s="1">
        <v>164</v>
      </c>
      <c r="B95" s="17" t="s">
        <v>356</v>
      </c>
      <c r="C95" s="13" t="str" cm="1">
        <f t="array" ref="C95">_xlfn.IFS(LEN(B95) &lt;= 25, "Short", AND(LEN(B95) &gt; 25, LEN(B95) &lt;= 50), "Medium", LEN(B95) &gt; 50, "Long")</f>
        <v>Short</v>
      </c>
      <c r="D95" s="24" t="s">
        <v>79</v>
      </c>
      <c r="E95" s="18"/>
      <c r="F95" s="18"/>
      <c r="G95" s="1" t="s">
        <v>77</v>
      </c>
      <c r="H95" s="19" t="b">
        <f t="shared" si="6"/>
        <v>0</v>
      </c>
    </row>
    <row r="96" spans="1:8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24" t="s">
        <v>76</v>
      </c>
      <c r="E96" s="18"/>
      <c r="F96" s="18"/>
      <c r="G96" s="1" t="s">
        <v>76</v>
      </c>
      <c r="H96" s="19" t="b">
        <f t="shared" si="6"/>
        <v>1</v>
      </c>
    </row>
    <row r="97" spans="1:8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24" t="s">
        <v>82</v>
      </c>
      <c r="E97" s="18"/>
      <c r="F97" s="18"/>
      <c r="G97" s="1" t="s">
        <v>82</v>
      </c>
      <c r="H97" s="19" t="b">
        <f t="shared" si="6"/>
        <v>1</v>
      </c>
    </row>
    <row r="98" spans="1:8" x14ac:dyDescent="0.3">
      <c r="A98" s="1">
        <v>167</v>
      </c>
      <c r="B98" s="17" t="s">
        <v>357</v>
      </c>
      <c r="C98" s="13" t="str" cm="1">
        <f t="array" ref="C98">_xlfn.IFS(LEN(B98) &lt;= 25, "Short", AND(LEN(B98) &gt; 25, LEN(B98) &lt;= 50), "Medium", LEN(B98) &gt; 50, "Long")</f>
        <v>Short</v>
      </c>
      <c r="D98" s="24" t="s">
        <v>252</v>
      </c>
      <c r="E98" s="18"/>
      <c r="F98" s="18"/>
      <c r="G98" s="1" t="s">
        <v>80</v>
      </c>
      <c r="H98" s="19" t="b">
        <f t="shared" si="6"/>
        <v>0</v>
      </c>
    </row>
    <row r="99" spans="1:8" x14ac:dyDescent="0.3">
      <c r="A99" s="1">
        <v>168</v>
      </c>
      <c r="B99" s="17" t="s">
        <v>358</v>
      </c>
      <c r="C99" s="13" t="str" cm="1">
        <f t="array" ref="C99">_xlfn.IFS(LEN(B99) &lt;= 25, "Short", AND(LEN(B99) &gt; 25, LEN(B99) &lt;= 50), "Medium", LEN(B99) &gt; 50, "Long")</f>
        <v>Short</v>
      </c>
      <c r="D99" s="24" t="s">
        <v>77</v>
      </c>
      <c r="E99" s="18"/>
      <c r="F99" s="18"/>
      <c r="G99" s="1" t="s">
        <v>77</v>
      </c>
      <c r="H99" s="19" t="b">
        <f t="shared" si="6"/>
        <v>1</v>
      </c>
    </row>
    <row r="100" spans="1:8" x14ac:dyDescent="0.3">
      <c r="A100" s="1">
        <v>169</v>
      </c>
      <c r="B100" s="17" t="s">
        <v>359</v>
      </c>
      <c r="C100" s="13" t="str" cm="1">
        <f t="array" ref="C100">_xlfn.IFS(LEN(B100) &lt;= 25, "Short", AND(LEN(B100) &gt; 25, LEN(B100) &lt;= 50), "Medium", LEN(B100) &gt; 50, "Long")</f>
        <v>Short</v>
      </c>
      <c r="D100" s="24" t="s">
        <v>79</v>
      </c>
      <c r="E100" s="18"/>
      <c r="F100" s="18"/>
      <c r="G100" s="1" t="s">
        <v>79</v>
      </c>
      <c r="H100" s="19" t="b">
        <f t="shared" si="6"/>
        <v>1</v>
      </c>
    </row>
    <row r="101" spans="1:8" x14ac:dyDescent="0.3">
      <c r="A101" s="1">
        <v>170</v>
      </c>
      <c r="B101" s="17" t="s">
        <v>360</v>
      </c>
      <c r="C101" s="13" t="str" cm="1">
        <f t="array" ref="C101">_xlfn.IFS(LEN(B101) &lt;= 25, "Short", AND(LEN(B101) &gt; 25, LEN(B101) &lt;= 50), "Medium", LEN(B101) &gt; 50, "Long")</f>
        <v>Short</v>
      </c>
      <c r="D101" s="24" t="s">
        <v>79</v>
      </c>
      <c r="E101" s="18"/>
      <c r="F101" s="18"/>
      <c r="G101" s="1" t="s">
        <v>252</v>
      </c>
      <c r="H101" s="19" t="b">
        <f t="shared" si="6"/>
        <v>0</v>
      </c>
    </row>
    <row r="102" spans="1:8" x14ac:dyDescent="0.3">
      <c r="A102" s="1">
        <v>171</v>
      </c>
      <c r="B102" s="17" t="s">
        <v>361</v>
      </c>
      <c r="C102" s="13" t="str" cm="1">
        <f t="array" ref="C102">_xlfn.IFS(LEN(B102) &lt;= 25, "Short", AND(LEN(B102) &gt; 25, LEN(B102) &lt;= 50), "Medium", LEN(B102) &gt; 50, "Long")</f>
        <v>Short</v>
      </c>
      <c r="D102" s="24" t="s">
        <v>79</v>
      </c>
      <c r="E102" s="18"/>
      <c r="F102" s="18"/>
      <c r="G102" s="1" t="s">
        <v>81</v>
      </c>
      <c r="H102" s="19" t="b">
        <f t="shared" si="6"/>
        <v>0</v>
      </c>
    </row>
    <row r="103" spans="1:8" x14ac:dyDescent="0.3">
      <c r="A103" s="1">
        <v>172</v>
      </c>
      <c r="B103" s="17" t="s">
        <v>362</v>
      </c>
      <c r="C103" s="13" t="str" cm="1">
        <f t="array" ref="C103">_xlfn.IFS(LEN(B103) &lt;= 25, "Short", AND(LEN(B103) &gt; 25, LEN(B103) &lt;= 50), "Medium", LEN(B103) &gt; 50, "Long")</f>
        <v>Short</v>
      </c>
      <c r="D103" s="24" t="s">
        <v>252</v>
      </c>
      <c r="E103" s="18"/>
      <c r="F103" s="18"/>
      <c r="G103" s="1" t="s">
        <v>80</v>
      </c>
      <c r="H103" s="19" t="b">
        <f t="shared" si="6"/>
        <v>0</v>
      </c>
    </row>
    <row r="104" spans="1:8" x14ac:dyDescent="0.3">
      <c r="A104" s="1">
        <v>173</v>
      </c>
      <c r="B104" s="17" t="s">
        <v>363</v>
      </c>
      <c r="C104" s="13" t="str" cm="1">
        <f t="array" ref="C104">_xlfn.IFS(LEN(B104) &lt;= 25, "Short", AND(LEN(B104) &gt; 25, LEN(B104) &lt;= 50), "Medium", LEN(B104) &gt; 50, "Long")</f>
        <v>Medium</v>
      </c>
      <c r="D104" s="24" t="s">
        <v>77</v>
      </c>
      <c r="E104" s="18"/>
      <c r="F104" s="18"/>
      <c r="G104" s="1" t="s">
        <v>77</v>
      </c>
      <c r="H104" s="19" t="b">
        <f t="shared" si="6"/>
        <v>1</v>
      </c>
    </row>
    <row r="105" spans="1:8" x14ac:dyDescent="0.3">
      <c r="A105" s="1">
        <v>174</v>
      </c>
      <c r="B105" s="17" t="s">
        <v>364</v>
      </c>
      <c r="C105" s="13" t="str" cm="1">
        <f t="array" ref="C105">_xlfn.IFS(LEN(B105) &lt;= 25, "Short", AND(LEN(B105) &gt; 25, LEN(B105) &lt;= 50), "Medium", LEN(B105) &gt; 50, "Long")</f>
        <v>Medium</v>
      </c>
      <c r="D105" s="24" t="s">
        <v>77</v>
      </c>
      <c r="E105" s="18"/>
      <c r="F105" s="18"/>
      <c r="G105" s="1" t="s">
        <v>80</v>
      </c>
      <c r="H105" s="19" t="b">
        <f t="shared" si="6"/>
        <v>0</v>
      </c>
    </row>
    <row r="106" spans="1:8" x14ac:dyDescent="0.3">
      <c r="A106" s="1">
        <v>175</v>
      </c>
      <c r="B106" s="17" t="s">
        <v>365</v>
      </c>
      <c r="C106" s="13" t="str" cm="1">
        <f t="array" ref="C106">_xlfn.IFS(LEN(B106) &lt;= 25, "Short", AND(LEN(B106) &gt; 25, LEN(B106) &lt;= 50), "Medium", LEN(B106) &gt; 50, "Long")</f>
        <v>Medium</v>
      </c>
      <c r="D106" s="24" t="s">
        <v>77</v>
      </c>
      <c r="E106" s="18"/>
      <c r="F106" s="18"/>
      <c r="G106" s="1" t="s">
        <v>81</v>
      </c>
      <c r="H106" s="19" t="b">
        <f t="shared" si="6"/>
        <v>0</v>
      </c>
    </row>
    <row r="107" spans="1:8" x14ac:dyDescent="0.3">
      <c r="A107" s="1">
        <v>176</v>
      </c>
      <c r="B107" s="17" t="s">
        <v>366</v>
      </c>
      <c r="C107" s="13" t="str" cm="1">
        <f t="array" ref="C107">_xlfn.IFS(LEN(B107) &lt;= 25, "Short", AND(LEN(B107) &gt; 25, LEN(B107) &lt;= 50), "Medium", LEN(B107) &gt; 50, "Long")</f>
        <v>Long</v>
      </c>
      <c r="D107" s="24" t="s">
        <v>79</v>
      </c>
      <c r="E107" s="18"/>
      <c r="F107" s="18"/>
      <c r="G107" s="1" t="s">
        <v>79</v>
      </c>
      <c r="H107" s="19" t="b">
        <f t="shared" si="6"/>
        <v>1</v>
      </c>
    </row>
    <row r="108" spans="1:8" x14ac:dyDescent="0.3">
      <c r="A108" s="1">
        <v>177</v>
      </c>
      <c r="B108" s="17" t="s">
        <v>367</v>
      </c>
      <c r="C108" s="13" t="str" cm="1">
        <f t="array" ref="C108">_xlfn.IFS(LEN(B108) &lt;= 25, "Short", AND(LEN(B108) &gt; 25, LEN(B108) &lt;= 50), "Medium", LEN(B108) &gt; 50, "Long")</f>
        <v>Short</v>
      </c>
      <c r="D108" s="24" t="s">
        <v>77</v>
      </c>
      <c r="E108" s="18"/>
      <c r="F108" s="18"/>
      <c r="G108" s="1" t="s">
        <v>77</v>
      </c>
      <c r="H108" s="19" t="b">
        <f t="shared" si="6"/>
        <v>1</v>
      </c>
    </row>
    <row r="109" spans="1:8" x14ac:dyDescent="0.3">
      <c r="A109" s="1">
        <v>178</v>
      </c>
      <c r="B109" s="17" t="s">
        <v>368</v>
      </c>
      <c r="C109" s="13" t="str" cm="1">
        <f t="array" ref="C109">_xlfn.IFS(LEN(B109) &lt;= 25, "Short", AND(LEN(B109) &gt; 25, LEN(B109) &lt;= 50), "Medium", LEN(B109) &gt; 50, "Long")</f>
        <v>Short</v>
      </c>
      <c r="D109" s="24" t="s">
        <v>77</v>
      </c>
      <c r="E109" s="18"/>
      <c r="F109" s="18"/>
      <c r="G109" s="1" t="s">
        <v>79</v>
      </c>
      <c r="H109" s="19" t="b">
        <f t="shared" si="6"/>
        <v>0</v>
      </c>
    </row>
    <row r="110" spans="1:8" x14ac:dyDescent="0.3">
      <c r="A110" s="1">
        <v>179</v>
      </c>
      <c r="B110" s="17" t="s">
        <v>369</v>
      </c>
      <c r="C110" s="13" t="str" cm="1">
        <f t="array" ref="C110">_xlfn.IFS(LEN(B110) &lt;= 25, "Short", AND(LEN(B110) &gt; 25, LEN(B110) &lt;= 50), "Medium", LEN(B110) &gt; 50, "Long")</f>
        <v>Long</v>
      </c>
      <c r="D110" s="24" t="s">
        <v>252</v>
      </c>
      <c r="E110" s="18"/>
      <c r="F110" s="18"/>
      <c r="G110" s="1" t="s">
        <v>252</v>
      </c>
      <c r="H110" s="19" t="b">
        <f t="shared" si="6"/>
        <v>1</v>
      </c>
    </row>
    <row r="111" spans="1:8" x14ac:dyDescent="0.3">
      <c r="A111" s="1">
        <v>180</v>
      </c>
      <c r="B111" s="17" t="s">
        <v>370</v>
      </c>
      <c r="C111" s="13" t="str" cm="1">
        <f t="array" ref="C111">_xlfn.IFS(LEN(B111) &lt;= 25, "Short", AND(LEN(B111) &gt; 25, LEN(B111) &lt;= 50), "Medium", LEN(B111) &gt; 50, "Long")</f>
        <v>Short</v>
      </c>
      <c r="D111" s="24" t="s">
        <v>77</v>
      </c>
      <c r="E111" s="18"/>
      <c r="F111" s="18"/>
      <c r="G111" s="1" t="s">
        <v>82</v>
      </c>
      <c r="H111" s="19" t="b">
        <f t="shared" si="6"/>
        <v>0</v>
      </c>
    </row>
    <row r="112" spans="1:8" x14ac:dyDescent="0.3">
      <c r="A112" s="1">
        <v>181</v>
      </c>
      <c r="B112" s="17" t="s">
        <v>371</v>
      </c>
      <c r="C112" s="13" t="str" cm="1">
        <f t="array" ref="C112">_xlfn.IFS(LEN(B112) &lt;= 25, "Short", AND(LEN(B112) &gt; 25, LEN(B112) &lt;= 50), "Medium", LEN(B112) &gt; 50, "Long")</f>
        <v>Short</v>
      </c>
      <c r="D112" s="24" t="s">
        <v>77</v>
      </c>
      <c r="E112" s="18"/>
      <c r="F112" s="18"/>
      <c r="G112" s="1" t="s">
        <v>252</v>
      </c>
      <c r="H112" s="19" t="b">
        <f t="shared" si="6"/>
        <v>0</v>
      </c>
    </row>
    <row r="113" spans="1:8" x14ac:dyDescent="0.3">
      <c r="A113" s="1">
        <v>182</v>
      </c>
      <c r="B113" s="17" t="s">
        <v>372</v>
      </c>
      <c r="C113" s="13" t="str" cm="1">
        <f t="array" ref="C113">_xlfn.IFS(LEN(B113) &lt;= 25, "Short", AND(LEN(B113) &gt; 25, LEN(B113) &lt;= 50), "Medium", LEN(B113) &gt; 50, "Long")</f>
        <v>Long</v>
      </c>
      <c r="D113" s="24" t="s">
        <v>77</v>
      </c>
      <c r="E113" s="18"/>
      <c r="F113" s="18"/>
      <c r="G113" s="1" t="s">
        <v>82</v>
      </c>
      <c r="H113" s="19" t="b">
        <f t="shared" si="6"/>
        <v>0</v>
      </c>
    </row>
    <row r="114" spans="1:8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24" t="s">
        <v>76</v>
      </c>
      <c r="E114" s="18"/>
      <c r="F114" s="18"/>
      <c r="G114" s="1" t="s">
        <v>76</v>
      </c>
      <c r="H114" s="19" t="b">
        <f t="shared" si="6"/>
        <v>1</v>
      </c>
    </row>
    <row r="115" spans="1:8" x14ac:dyDescent="0.3">
      <c r="A115" s="1">
        <v>184</v>
      </c>
      <c r="B115" s="17" t="s">
        <v>373</v>
      </c>
      <c r="C115" s="13" t="str" cm="1">
        <f t="array" ref="C115">_xlfn.IFS(LEN(B115) &lt;= 25, "Short", AND(LEN(B115) &gt; 25, LEN(B115) &lt;= 50), "Medium", LEN(B115) &gt; 50, "Long")</f>
        <v>Long</v>
      </c>
      <c r="D115" s="24" t="s">
        <v>81</v>
      </c>
      <c r="E115" s="18"/>
      <c r="F115" s="18"/>
      <c r="G115" s="1" t="s">
        <v>82</v>
      </c>
      <c r="H115" s="19" t="b">
        <f t="shared" si="6"/>
        <v>0</v>
      </c>
    </row>
    <row r="116" spans="1:8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24" t="s">
        <v>81</v>
      </c>
      <c r="E116" s="18"/>
      <c r="F116" s="18"/>
      <c r="G116" s="1" t="s">
        <v>81</v>
      </c>
      <c r="H116" s="19" t="b">
        <f t="shared" si="6"/>
        <v>1</v>
      </c>
    </row>
    <row r="117" spans="1:8" x14ac:dyDescent="0.3">
      <c r="A117" s="1">
        <v>186</v>
      </c>
      <c r="B117" s="17" t="s">
        <v>374</v>
      </c>
      <c r="C117" s="13" t="str" cm="1">
        <f t="array" ref="C117">_xlfn.IFS(LEN(B117) &lt;= 25, "Short", AND(LEN(B117) &gt; 25, LEN(B117) &lt;= 50), "Medium", LEN(B117) &gt; 50, "Long")</f>
        <v>Short</v>
      </c>
      <c r="D117" s="24" t="s">
        <v>77</v>
      </c>
      <c r="E117" s="18"/>
      <c r="F117" s="18"/>
      <c r="G117" s="1" t="s">
        <v>82</v>
      </c>
      <c r="H117" s="19" t="b">
        <f t="shared" si="6"/>
        <v>0</v>
      </c>
    </row>
    <row r="118" spans="1:8" x14ac:dyDescent="0.3">
      <c r="A118" s="1">
        <v>187</v>
      </c>
      <c r="B118" s="17" t="s">
        <v>375</v>
      </c>
      <c r="C118" s="13" t="str" cm="1">
        <f t="array" ref="C118">_xlfn.IFS(LEN(B118) &lt;= 25, "Short", AND(LEN(B118) &gt; 25, LEN(B118) &lt;= 50), "Medium", LEN(B118) &gt; 50, "Long")</f>
        <v>Short</v>
      </c>
      <c r="D118" s="24" t="s">
        <v>77</v>
      </c>
      <c r="E118" s="18"/>
      <c r="F118" s="18"/>
      <c r="G118" s="1" t="s">
        <v>77</v>
      </c>
      <c r="H118" s="19" t="b">
        <f t="shared" si="6"/>
        <v>1</v>
      </c>
    </row>
    <row r="119" spans="1:8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24" t="s">
        <v>252</v>
      </c>
      <c r="E119" s="18"/>
      <c r="F119" s="18"/>
      <c r="G119" s="1" t="s">
        <v>252</v>
      </c>
      <c r="H119" s="19" t="b">
        <f t="shared" si="6"/>
        <v>1</v>
      </c>
    </row>
    <row r="120" spans="1:8" x14ac:dyDescent="0.3">
      <c r="A120" s="1">
        <v>189</v>
      </c>
      <c r="B120" s="17" t="s">
        <v>376</v>
      </c>
      <c r="C120" s="13" t="str" cm="1">
        <f t="array" ref="C120">_xlfn.IFS(LEN(B120) &lt;= 25, "Short", AND(LEN(B120) &gt; 25, LEN(B120) &lt;= 50), "Medium", LEN(B120) &gt; 50, "Long")</f>
        <v>Medium</v>
      </c>
      <c r="D120" s="24" t="s">
        <v>77</v>
      </c>
      <c r="E120" s="18"/>
      <c r="F120" s="18"/>
      <c r="G120" s="1" t="s">
        <v>82</v>
      </c>
      <c r="H120" s="19" t="b">
        <f t="shared" si="6"/>
        <v>0</v>
      </c>
    </row>
    <row r="121" spans="1:8" x14ac:dyDescent="0.3">
      <c r="A121" s="1">
        <v>190</v>
      </c>
      <c r="B121" s="17" t="s">
        <v>377</v>
      </c>
      <c r="C121" s="13" t="str" cm="1">
        <f t="array" ref="C121">_xlfn.IFS(LEN(B121) &lt;= 25, "Short", AND(LEN(B121) &gt; 25, LEN(B121) &lt;= 50), "Medium", LEN(B121) &gt; 50, "Long")</f>
        <v>Short</v>
      </c>
      <c r="D121" s="24" t="s">
        <v>80</v>
      </c>
      <c r="E121" s="18"/>
      <c r="F121" s="18"/>
      <c r="G121" s="1" t="s">
        <v>80</v>
      </c>
      <c r="H121" s="19" t="b">
        <f t="shared" si="6"/>
        <v>1</v>
      </c>
    </row>
    <row r="122" spans="1:8" x14ac:dyDescent="0.3">
      <c r="A122" s="1">
        <v>191</v>
      </c>
      <c r="B122" s="17" t="s">
        <v>378</v>
      </c>
      <c r="C122" s="13" t="str" cm="1">
        <f t="array" ref="C122">_xlfn.IFS(LEN(B122) &lt;= 25, "Short", AND(LEN(B122) &gt; 25, LEN(B122) &lt;= 50), "Medium", LEN(B122) &gt; 50, "Long")</f>
        <v>Short</v>
      </c>
      <c r="D122" s="24" t="s">
        <v>76</v>
      </c>
      <c r="E122" s="18"/>
      <c r="F122" s="18"/>
      <c r="G122" s="1" t="s">
        <v>76</v>
      </c>
      <c r="H122" s="19" t="b">
        <f t="shared" si="6"/>
        <v>1</v>
      </c>
    </row>
    <row r="123" spans="1:8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24" t="s">
        <v>76</v>
      </c>
      <c r="E123" s="18"/>
      <c r="F123" s="18"/>
      <c r="G123" s="1" t="s">
        <v>76</v>
      </c>
      <c r="H123" s="19" t="b">
        <f t="shared" si="6"/>
        <v>1</v>
      </c>
    </row>
    <row r="124" spans="1:8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24" t="s">
        <v>76</v>
      </c>
      <c r="E124" s="18"/>
      <c r="F124" s="18"/>
      <c r="G124" s="1" t="s">
        <v>76</v>
      </c>
      <c r="H124" s="19" t="b">
        <f t="shared" si="6"/>
        <v>1</v>
      </c>
    </row>
    <row r="125" spans="1:8" x14ac:dyDescent="0.3">
      <c r="A125" s="1">
        <v>194</v>
      </c>
      <c r="B125" s="17" t="s">
        <v>379</v>
      </c>
      <c r="C125" s="13" t="str" cm="1">
        <f t="array" ref="C125">_xlfn.IFS(LEN(B125) &lt;= 25, "Short", AND(LEN(B125) &gt; 25, LEN(B125) &lt;= 50), "Medium", LEN(B125) &gt; 50, "Long")</f>
        <v>Short</v>
      </c>
      <c r="D125" s="24" t="s">
        <v>77</v>
      </c>
      <c r="E125" s="18"/>
      <c r="F125" s="18"/>
      <c r="G125" s="1" t="s">
        <v>80</v>
      </c>
      <c r="H125" s="19" t="b">
        <f t="shared" si="6"/>
        <v>0</v>
      </c>
    </row>
    <row r="126" spans="1:8" x14ac:dyDescent="0.3">
      <c r="A126" s="1">
        <v>195</v>
      </c>
      <c r="B126" s="17" t="s">
        <v>380</v>
      </c>
      <c r="C126" s="13" t="str" cm="1">
        <f t="array" ref="C126">_xlfn.IFS(LEN(B126) &lt;= 25, "Short", AND(LEN(B126) &gt; 25, LEN(B126) &lt;= 50), "Medium", LEN(B126) &gt; 50, "Long")</f>
        <v>Short</v>
      </c>
      <c r="D126" s="24" t="s">
        <v>77</v>
      </c>
      <c r="E126" s="18"/>
      <c r="F126" s="18"/>
      <c r="G126" s="1" t="s">
        <v>79</v>
      </c>
      <c r="H126" s="19" t="b">
        <f t="shared" si="6"/>
        <v>0</v>
      </c>
    </row>
    <row r="127" spans="1:8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24" t="s">
        <v>76</v>
      </c>
      <c r="E127" s="18"/>
      <c r="F127" s="18"/>
      <c r="G127" s="1" t="s">
        <v>76</v>
      </c>
      <c r="H127" s="19" t="b">
        <f t="shared" si="6"/>
        <v>1</v>
      </c>
    </row>
    <row r="128" spans="1:8" x14ac:dyDescent="0.3">
      <c r="A128" s="1">
        <v>197</v>
      </c>
      <c r="B128" s="17" t="s">
        <v>381</v>
      </c>
      <c r="C128" s="13" t="str" cm="1">
        <f t="array" ref="C128">_xlfn.IFS(LEN(B128) &lt;= 25, "Short", AND(LEN(B128) &gt; 25, LEN(B128) &lt;= 50), "Medium", LEN(B128) &gt; 50, "Long")</f>
        <v>Medium</v>
      </c>
      <c r="D128" s="24" t="s">
        <v>77</v>
      </c>
      <c r="E128" s="18"/>
      <c r="F128" s="18"/>
      <c r="G128" s="1" t="s">
        <v>80</v>
      </c>
      <c r="H128" s="19" t="b">
        <f t="shared" si="6"/>
        <v>0</v>
      </c>
    </row>
    <row r="129" spans="1:8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24" t="s">
        <v>252</v>
      </c>
      <c r="E129" s="18"/>
      <c r="F129" s="18"/>
      <c r="G129" s="1" t="s">
        <v>252</v>
      </c>
      <c r="H129" s="19" t="b">
        <f t="shared" si="6"/>
        <v>1</v>
      </c>
    </row>
    <row r="130" spans="1:8" x14ac:dyDescent="0.3">
      <c r="A130" s="1">
        <v>199</v>
      </c>
      <c r="B130" s="17" t="s">
        <v>382</v>
      </c>
      <c r="C130" s="13" t="str" cm="1">
        <f t="array" ref="C130">_xlfn.IFS(LEN(B130) &lt;= 25, "Short", AND(LEN(B130) &gt; 25, LEN(B130) &lt;= 50), "Medium", LEN(B130) &gt; 50, "Long")</f>
        <v>Medium</v>
      </c>
      <c r="D130" s="24" t="s">
        <v>79</v>
      </c>
      <c r="E130" s="18"/>
      <c r="F130" s="18"/>
      <c r="G130" s="1" t="s">
        <v>252</v>
      </c>
      <c r="H130" s="19" t="b">
        <f t="shared" si="6"/>
        <v>0</v>
      </c>
    </row>
    <row r="131" spans="1:8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24" t="s">
        <v>76</v>
      </c>
      <c r="E131" s="18"/>
      <c r="F131" s="18"/>
      <c r="G131" s="1" t="s">
        <v>76</v>
      </c>
      <c r="H131" s="19" t="b">
        <f t="shared" ref="H131:H141" si="7">IF(OR(D131=G131, E131=G131, F131=G131), TRUE, FALSE)</f>
        <v>1</v>
      </c>
    </row>
    <row r="132" spans="1:8" x14ac:dyDescent="0.3">
      <c r="A132" s="1">
        <v>201</v>
      </c>
      <c r="B132" s="17" t="s">
        <v>383</v>
      </c>
      <c r="C132" s="13" t="str" cm="1">
        <f t="array" ref="C132">_xlfn.IFS(LEN(B132) &lt;= 25, "Short", AND(LEN(B132) &gt; 25, LEN(B132) &lt;= 50), "Medium", LEN(B132) &gt; 50, "Long")</f>
        <v>Medium</v>
      </c>
      <c r="D132" s="24" t="s">
        <v>81</v>
      </c>
      <c r="E132" s="18"/>
      <c r="F132" s="18"/>
      <c r="G132" s="1" t="s">
        <v>81</v>
      </c>
      <c r="H132" s="19" t="b">
        <f t="shared" si="7"/>
        <v>1</v>
      </c>
    </row>
    <row r="133" spans="1:8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24" t="s">
        <v>79</v>
      </c>
      <c r="E133" s="18"/>
      <c r="F133" s="18"/>
      <c r="G133" s="1" t="s">
        <v>80</v>
      </c>
      <c r="H133" s="19" t="b">
        <f t="shared" si="7"/>
        <v>0</v>
      </c>
    </row>
    <row r="134" spans="1:8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24" t="s">
        <v>79</v>
      </c>
      <c r="E134" s="18"/>
      <c r="F134" s="18"/>
      <c r="G134" s="1" t="s">
        <v>79</v>
      </c>
      <c r="H134" s="19" t="b">
        <f t="shared" si="7"/>
        <v>1</v>
      </c>
    </row>
    <row r="135" spans="1:8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24" t="s">
        <v>252</v>
      </c>
      <c r="E135" s="18"/>
      <c r="F135" s="18"/>
      <c r="G135" s="1" t="s">
        <v>80</v>
      </c>
      <c r="H135" s="19" t="b">
        <f t="shared" si="7"/>
        <v>0</v>
      </c>
    </row>
    <row r="136" spans="1:8" x14ac:dyDescent="0.3">
      <c r="A136" s="1">
        <v>205</v>
      </c>
      <c r="B136" s="17" t="s">
        <v>384</v>
      </c>
      <c r="C136" s="13" t="str" cm="1">
        <f t="array" ref="C136">_xlfn.IFS(LEN(B136) &lt;= 25, "Short", AND(LEN(B136) &gt; 25, LEN(B136) &lt;= 50), "Medium", LEN(B136) &gt; 50, "Long")</f>
        <v>Short</v>
      </c>
      <c r="D136" s="24" t="s">
        <v>252</v>
      </c>
      <c r="E136" s="18"/>
      <c r="F136" s="18"/>
      <c r="G136" s="1" t="s">
        <v>252</v>
      </c>
      <c r="H136" s="19" t="b">
        <f t="shared" si="7"/>
        <v>1</v>
      </c>
    </row>
    <row r="137" spans="1:8" x14ac:dyDescent="0.3">
      <c r="A137" s="1">
        <v>206</v>
      </c>
      <c r="B137" s="17" t="s">
        <v>385</v>
      </c>
      <c r="C137" s="13" t="str" cm="1">
        <f t="array" ref="C137">_xlfn.IFS(LEN(B137) &lt;= 25, "Short", AND(LEN(B137) &gt; 25, LEN(B137) &lt;= 50), "Medium", LEN(B137) &gt; 50, "Long")</f>
        <v>Short</v>
      </c>
      <c r="D137" s="24" t="s">
        <v>252</v>
      </c>
      <c r="E137" s="18"/>
      <c r="F137" s="18"/>
      <c r="G137" s="1" t="s">
        <v>252</v>
      </c>
      <c r="H137" s="19" t="b">
        <f t="shared" si="7"/>
        <v>1</v>
      </c>
    </row>
    <row r="138" spans="1:8" x14ac:dyDescent="0.3">
      <c r="A138" s="1">
        <v>207</v>
      </c>
      <c r="B138" s="17" t="s">
        <v>386</v>
      </c>
      <c r="C138" s="13" t="str" cm="1">
        <f t="array" ref="C138">_xlfn.IFS(LEN(B138) &lt;= 25, "Short", AND(LEN(B138) &gt; 25, LEN(B138) &lt;= 50), "Medium", LEN(B138) &gt; 50, "Long")</f>
        <v>Medium</v>
      </c>
      <c r="D138" s="24" t="s">
        <v>80</v>
      </c>
      <c r="E138" s="18"/>
      <c r="F138" s="18"/>
      <c r="G138" s="1" t="s">
        <v>80</v>
      </c>
      <c r="H138" s="19" t="b">
        <f t="shared" si="7"/>
        <v>1</v>
      </c>
    </row>
    <row r="139" spans="1:8" x14ac:dyDescent="0.3">
      <c r="A139" s="1">
        <v>208</v>
      </c>
      <c r="B139" s="17" t="s">
        <v>387</v>
      </c>
      <c r="C139" s="13" t="str" cm="1">
        <f t="array" ref="C139">_xlfn.IFS(LEN(B139) &lt;= 25, "Short", AND(LEN(B139) &gt; 25, LEN(B139) &lt;= 50), "Medium", LEN(B139) &gt; 50, "Long")</f>
        <v>Short</v>
      </c>
      <c r="D139" s="24" t="s">
        <v>79</v>
      </c>
      <c r="E139" s="18"/>
      <c r="F139" s="18"/>
      <c r="G139" s="1" t="s">
        <v>77</v>
      </c>
      <c r="H139" s="19" t="b">
        <f t="shared" si="7"/>
        <v>0</v>
      </c>
    </row>
    <row r="140" spans="1:8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24" t="s">
        <v>77</v>
      </c>
      <c r="E140" s="18"/>
      <c r="F140" s="18"/>
      <c r="G140" s="1" t="s">
        <v>79</v>
      </c>
      <c r="H140" s="19" t="b">
        <f t="shared" si="7"/>
        <v>0</v>
      </c>
    </row>
    <row r="141" spans="1:8" x14ac:dyDescent="0.3">
      <c r="A141" s="1">
        <v>210</v>
      </c>
      <c r="B141" s="17" t="s">
        <v>388</v>
      </c>
      <c r="C141" s="13" t="str" cm="1">
        <f t="array" ref="C141">_xlfn.IFS(LEN(B141) &lt;= 25, "Short", AND(LEN(B141) &gt; 25, LEN(B141) &lt;= 50), "Medium", LEN(B141) &gt; 50, "Long")</f>
        <v>Short</v>
      </c>
      <c r="D141" s="24" t="s">
        <v>81</v>
      </c>
      <c r="E141" s="18"/>
      <c r="F141" s="18"/>
      <c r="G141" s="1" t="s">
        <v>81</v>
      </c>
      <c r="H141" s="19" t="b">
        <f t="shared" si="7"/>
        <v>1</v>
      </c>
    </row>
  </sheetData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FC79-B428-430E-99A6-AE66B8289CB9}">
  <dimension ref="A1:E141"/>
  <sheetViews>
    <sheetView topLeftCell="A115" workbookViewId="0">
      <selection activeCell="C2" sqref="C2:C141"/>
    </sheetView>
  </sheetViews>
  <sheetFormatPr defaultRowHeight="14.4" x14ac:dyDescent="0.3"/>
  <cols>
    <col min="2" max="2" width="77.44140625" bestFit="1" customWidth="1"/>
    <col min="3" max="5" width="13.6640625" bestFit="1" customWidth="1"/>
  </cols>
  <sheetData>
    <row r="1" spans="1:5" x14ac:dyDescent="0.3">
      <c r="A1" s="21" t="s">
        <v>75</v>
      </c>
      <c r="B1" s="21" t="s">
        <v>74</v>
      </c>
      <c r="C1" s="21" t="s">
        <v>513</v>
      </c>
      <c r="D1" s="21" t="s">
        <v>514</v>
      </c>
      <c r="E1" s="21" t="s">
        <v>515</v>
      </c>
    </row>
    <row r="2" spans="1:5" x14ac:dyDescent="0.3">
      <c r="A2" s="24">
        <v>1</v>
      </c>
      <c r="B2" s="24" t="s">
        <v>87</v>
      </c>
      <c r="C2" s="24" t="s">
        <v>79</v>
      </c>
      <c r="D2" s="24"/>
      <c r="E2" s="24"/>
    </row>
    <row r="3" spans="1:5" x14ac:dyDescent="0.3">
      <c r="A3" s="24">
        <v>2</v>
      </c>
      <c r="B3" s="24" t="s">
        <v>303</v>
      </c>
      <c r="C3" s="24" t="s">
        <v>79</v>
      </c>
      <c r="D3" s="24"/>
      <c r="E3" s="24"/>
    </row>
    <row r="4" spans="1:5" x14ac:dyDescent="0.3">
      <c r="A4" s="24">
        <v>3</v>
      </c>
      <c r="B4" s="24" t="s">
        <v>34</v>
      </c>
      <c r="C4" s="24" t="s">
        <v>76</v>
      </c>
      <c r="D4" s="24"/>
      <c r="E4" s="24"/>
    </row>
    <row r="5" spans="1:5" x14ac:dyDescent="0.3">
      <c r="A5" s="24">
        <v>4</v>
      </c>
      <c r="B5" s="24" t="s">
        <v>89</v>
      </c>
      <c r="C5" s="24" t="s">
        <v>81</v>
      </c>
      <c r="D5" s="24"/>
      <c r="E5" s="24"/>
    </row>
    <row r="6" spans="1:5" x14ac:dyDescent="0.3">
      <c r="A6" s="24">
        <v>5</v>
      </c>
      <c r="B6" s="24" t="s">
        <v>304</v>
      </c>
      <c r="C6" s="24" t="s">
        <v>82</v>
      </c>
      <c r="D6" s="24"/>
      <c r="E6" s="24"/>
    </row>
    <row r="7" spans="1:5" x14ac:dyDescent="0.3">
      <c r="A7" s="24">
        <v>6</v>
      </c>
      <c r="B7" s="24" t="s">
        <v>305</v>
      </c>
      <c r="C7" s="24" t="s">
        <v>77</v>
      </c>
      <c r="D7" s="24"/>
      <c r="E7" s="24"/>
    </row>
    <row r="8" spans="1:5" x14ac:dyDescent="0.3">
      <c r="A8" s="24">
        <v>7</v>
      </c>
      <c r="B8" s="24" t="s">
        <v>92</v>
      </c>
      <c r="C8" s="24" t="s">
        <v>80</v>
      </c>
      <c r="D8" s="24"/>
      <c r="E8" s="24"/>
    </row>
    <row r="9" spans="1:5" x14ac:dyDescent="0.3">
      <c r="A9" s="24">
        <v>8</v>
      </c>
      <c r="B9" s="24" t="s">
        <v>306</v>
      </c>
      <c r="C9" s="24" t="s">
        <v>80</v>
      </c>
      <c r="D9" s="24"/>
      <c r="E9" s="24"/>
    </row>
    <row r="10" spans="1:5" x14ac:dyDescent="0.3">
      <c r="A10" s="24">
        <v>9</v>
      </c>
      <c r="B10" s="24" t="s">
        <v>9</v>
      </c>
      <c r="C10" s="24" t="s">
        <v>79</v>
      </c>
      <c r="D10" s="24"/>
      <c r="E10" s="24"/>
    </row>
    <row r="11" spans="1:5" x14ac:dyDescent="0.3">
      <c r="A11" s="24">
        <v>10</v>
      </c>
      <c r="B11" s="24" t="s">
        <v>14</v>
      </c>
      <c r="C11" s="24" t="s">
        <v>76</v>
      </c>
      <c r="D11" s="24"/>
      <c r="E11" s="24"/>
    </row>
    <row r="12" spans="1:5" x14ac:dyDescent="0.3">
      <c r="A12" s="24">
        <v>11</v>
      </c>
      <c r="B12" s="24" t="s">
        <v>54</v>
      </c>
      <c r="C12" s="24" t="s">
        <v>76</v>
      </c>
      <c r="D12" s="24"/>
      <c r="E12" s="24"/>
    </row>
    <row r="13" spans="1:5" x14ac:dyDescent="0.3">
      <c r="A13" s="24">
        <v>12</v>
      </c>
      <c r="B13" s="24" t="s">
        <v>307</v>
      </c>
      <c r="C13" s="24" t="s">
        <v>80</v>
      </c>
      <c r="D13" s="24"/>
      <c r="E13" s="24"/>
    </row>
    <row r="14" spans="1:5" x14ac:dyDescent="0.3">
      <c r="A14" s="24">
        <v>13</v>
      </c>
      <c r="B14" s="24" t="s">
        <v>308</v>
      </c>
      <c r="C14" s="24" t="s">
        <v>77</v>
      </c>
      <c r="D14" s="24"/>
      <c r="E14" s="24"/>
    </row>
    <row r="15" spans="1:5" x14ac:dyDescent="0.3">
      <c r="A15" s="24">
        <v>14</v>
      </c>
      <c r="B15" s="24" t="s">
        <v>94</v>
      </c>
      <c r="C15" s="24" t="s">
        <v>76</v>
      </c>
      <c r="D15" s="24"/>
      <c r="E15" s="24"/>
    </row>
    <row r="16" spans="1:5" x14ac:dyDescent="0.3">
      <c r="A16" s="24">
        <v>15</v>
      </c>
      <c r="B16" s="24" t="s">
        <v>309</v>
      </c>
      <c r="C16" s="24" t="s">
        <v>77</v>
      </c>
      <c r="D16" s="24"/>
      <c r="E16" s="24"/>
    </row>
    <row r="17" spans="1:5" x14ac:dyDescent="0.3">
      <c r="A17" s="24">
        <v>16</v>
      </c>
      <c r="B17" s="24" t="s">
        <v>310</v>
      </c>
      <c r="C17" s="24" t="s">
        <v>79</v>
      </c>
      <c r="D17" s="24"/>
      <c r="E17" s="24"/>
    </row>
    <row r="18" spans="1:5" x14ac:dyDescent="0.3">
      <c r="A18" s="24">
        <v>17</v>
      </c>
      <c r="B18" s="24" t="s">
        <v>525</v>
      </c>
      <c r="C18" s="24" t="s">
        <v>79</v>
      </c>
      <c r="D18" s="24"/>
      <c r="E18" s="24"/>
    </row>
    <row r="19" spans="1:5" x14ac:dyDescent="0.3">
      <c r="A19" s="24">
        <v>18</v>
      </c>
      <c r="B19" s="24" t="s">
        <v>312</v>
      </c>
      <c r="C19" s="24" t="s">
        <v>77</v>
      </c>
      <c r="D19" s="24"/>
      <c r="E19" s="24"/>
    </row>
    <row r="20" spans="1:5" x14ac:dyDescent="0.3">
      <c r="A20" s="24">
        <v>19</v>
      </c>
      <c r="B20" s="24" t="s">
        <v>313</v>
      </c>
      <c r="C20" s="24" t="s">
        <v>81</v>
      </c>
      <c r="D20" s="24"/>
      <c r="E20" s="24"/>
    </row>
    <row r="21" spans="1:5" x14ac:dyDescent="0.3">
      <c r="A21" s="24">
        <v>20</v>
      </c>
      <c r="B21" s="24" t="s">
        <v>314</v>
      </c>
      <c r="C21" s="24" t="s">
        <v>81</v>
      </c>
      <c r="D21" s="24"/>
      <c r="E21" s="24"/>
    </row>
    <row r="22" spans="1:5" x14ac:dyDescent="0.3">
      <c r="A22" s="24">
        <v>21</v>
      </c>
      <c r="B22" s="24" t="s">
        <v>97</v>
      </c>
      <c r="C22" s="24" t="s">
        <v>76</v>
      </c>
      <c r="D22" s="24"/>
      <c r="E22" s="24"/>
    </row>
    <row r="23" spans="1:5" x14ac:dyDescent="0.3">
      <c r="A23" s="24">
        <v>22</v>
      </c>
      <c r="B23" s="24" t="s">
        <v>315</v>
      </c>
      <c r="C23" s="24" t="s">
        <v>77</v>
      </c>
      <c r="D23" s="24"/>
      <c r="E23" s="24"/>
    </row>
    <row r="24" spans="1:5" x14ac:dyDescent="0.3">
      <c r="A24" s="24">
        <v>23</v>
      </c>
      <c r="B24" s="24" t="s">
        <v>316</v>
      </c>
      <c r="C24" s="24" t="s">
        <v>77</v>
      </c>
      <c r="D24" s="24"/>
      <c r="E24" s="24"/>
    </row>
    <row r="25" spans="1:5" x14ac:dyDescent="0.3">
      <c r="A25" s="24">
        <v>24</v>
      </c>
      <c r="B25" s="24" t="s">
        <v>100</v>
      </c>
      <c r="C25" s="24" t="s">
        <v>79</v>
      </c>
      <c r="D25" s="24"/>
      <c r="E25" s="24"/>
    </row>
    <row r="26" spans="1:5" x14ac:dyDescent="0.3">
      <c r="A26" s="24">
        <v>25</v>
      </c>
      <c r="B26" s="24" t="s">
        <v>317</v>
      </c>
      <c r="C26" s="24" t="s">
        <v>79</v>
      </c>
      <c r="D26" s="24"/>
      <c r="E26" s="24"/>
    </row>
    <row r="27" spans="1:5" x14ac:dyDescent="0.3">
      <c r="A27" s="24">
        <v>26</v>
      </c>
      <c r="B27" s="24" t="s">
        <v>318</v>
      </c>
      <c r="C27" s="24" t="s">
        <v>77</v>
      </c>
      <c r="D27" s="24"/>
      <c r="E27" s="24"/>
    </row>
    <row r="28" spans="1:5" x14ac:dyDescent="0.3">
      <c r="A28" s="24">
        <v>27</v>
      </c>
      <c r="B28" s="24" t="s">
        <v>319</v>
      </c>
      <c r="C28" s="24" t="s">
        <v>77</v>
      </c>
      <c r="D28" s="24"/>
      <c r="E28" s="24"/>
    </row>
    <row r="29" spans="1:5" x14ac:dyDescent="0.3">
      <c r="A29" s="24">
        <v>28</v>
      </c>
      <c r="B29" s="24" t="s">
        <v>67</v>
      </c>
      <c r="C29" s="24" t="s">
        <v>76</v>
      </c>
      <c r="D29" s="24"/>
      <c r="E29" s="24"/>
    </row>
    <row r="30" spans="1:5" x14ac:dyDescent="0.3">
      <c r="A30" s="24">
        <v>29</v>
      </c>
      <c r="B30" s="24" t="s">
        <v>320</v>
      </c>
      <c r="C30" s="24" t="s">
        <v>81</v>
      </c>
      <c r="D30" s="24"/>
      <c r="E30" s="24"/>
    </row>
    <row r="31" spans="1:5" x14ac:dyDescent="0.3">
      <c r="A31" s="24">
        <v>30</v>
      </c>
      <c r="B31" s="24" t="s">
        <v>526</v>
      </c>
      <c r="C31" s="24" t="s">
        <v>77</v>
      </c>
      <c r="D31" s="24"/>
      <c r="E31" s="24"/>
    </row>
    <row r="32" spans="1:5" x14ac:dyDescent="0.3">
      <c r="A32" s="24">
        <v>31</v>
      </c>
      <c r="B32" s="24" t="s">
        <v>21</v>
      </c>
      <c r="C32" s="24" t="s">
        <v>252</v>
      </c>
      <c r="D32" s="24"/>
      <c r="E32" s="24"/>
    </row>
    <row r="33" spans="1:5" x14ac:dyDescent="0.3">
      <c r="A33" s="24">
        <v>32</v>
      </c>
      <c r="B33" s="24" t="s">
        <v>322</v>
      </c>
      <c r="C33" s="24" t="s">
        <v>79</v>
      </c>
      <c r="D33" s="24"/>
      <c r="E33" s="24"/>
    </row>
    <row r="34" spans="1:5" x14ac:dyDescent="0.3">
      <c r="A34" s="24">
        <v>33</v>
      </c>
      <c r="B34" s="24" t="s">
        <v>251</v>
      </c>
      <c r="C34" s="24" t="s">
        <v>80</v>
      </c>
      <c r="D34" s="24"/>
      <c r="E34" s="24"/>
    </row>
    <row r="35" spans="1:5" x14ac:dyDescent="0.3">
      <c r="A35" s="24">
        <v>34</v>
      </c>
      <c r="B35" s="24" t="s">
        <v>287</v>
      </c>
      <c r="C35" s="24" t="s">
        <v>81</v>
      </c>
      <c r="D35" s="24"/>
      <c r="E35" s="24"/>
    </row>
    <row r="36" spans="1:5" x14ac:dyDescent="0.3">
      <c r="A36" s="24">
        <v>35</v>
      </c>
      <c r="B36" s="24" t="s">
        <v>105</v>
      </c>
      <c r="C36" s="24" t="s">
        <v>76</v>
      </c>
      <c r="D36" s="24"/>
      <c r="E36" s="24"/>
    </row>
    <row r="37" spans="1:5" x14ac:dyDescent="0.3">
      <c r="A37" s="24">
        <v>36</v>
      </c>
      <c r="B37" s="24" t="s">
        <v>106</v>
      </c>
      <c r="C37" s="24" t="s">
        <v>76</v>
      </c>
      <c r="D37" s="24"/>
      <c r="E37" s="24"/>
    </row>
    <row r="38" spans="1:5" x14ac:dyDescent="0.3">
      <c r="A38" s="24">
        <v>37</v>
      </c>
      <c r="B38" s="24" t="s">
        <v>323</v>
      </c>
      <c r="C38" s="24" t="s">
        <v>81</v>
      </c>
      <c r="D38" s="24"/>
      <c r="E38" s="24"/>
    </row>
    <row r="39" spans="1:5" x14ac:dyDescent="0.3">
      <c r="A39" s="24">
        <v>38</v>
      </c>
      <c r="B39" s="24" t="s">
        <v>324</v>
      </c>
      <c r="C39" s="24" t="s">
        <v>77</v>
      </c>
      <c r="D39" s="24"/>
      <c r="E39" s="24"/>
    </row>
    <row r="40" spans="1:5" x14ac:dyDescent="0.3">
      <c r="A40" s="24">
        <v>39</v>
      </c>
      <c r="B40" s="24" t="s">
        <v>325</v>
      </c>
      <c r="C40" s="24" t="s">
        <v>77</v>
      </c>
      <c r="D40" s="24"/>
      <c r="E40" s="24"/>
    </row>
    <row r="41" spans="1:5" x14ac:dyDescent="0.3">
      <c r="A41" s="24">
        <v>40</v>
      </c>
      <c r="B41" s="24" t="s">
        <v>326</v>
      </c>
      <c r="C41" s="24" t="s">
        <v>77</v>
      </c>
      <c r="D41" s="24"/>
      <c r="E41" s="24"/>
    </row>
    <row r="42" spans="1:5" x14ac:dyDescent="0.3">
      <c r="A42" s="24">
        <v>41</v>
      </c>
      <c r="B42" s="24" t="s">
        <v>527</v>
      </c>
      <c r="C42" s="24" t="s">
        <v>77</v>
      </c>
      <c r="D42" s="24"/>
      <c r="E42" s="24"/>
    </row>
    <row r="43" spans="1:5" x14ac:dyDescent="0.3">
      <c r="A43" s="24">
        <v>42</v>
      </c>
      <c r="B43" s="24" t="s">
        <v>110</v>
      </c>
      <c r="C43" s="24" t="s">
        <v>76</v>
      </c>
      <c r="D43" s="24"/>
      <c r="E43" s="24"/>
    </row>
    <row r="44" spans="1:5" x14ac:dyDescent="0.3">
      <c r="A44" s="24">
        <v>43</v>
      </c>
      <c r="B44" s="24" t="s">
        <v>328</v>
      </c>
      <c r="C44" s="24" t="s">
        <v>252</v>
      </c>
      <c r="D44" s="24"/>
      <c r="E44" s="24"/>
    </row>
    <row r="45" spans="1:5" x14ac:dyDescent="0.3">
      <c r="A45" s="24">
        <v>44</v>
      </c>
      <c r="B45" s="24" t="s">
        <v>26</v>
      </c>
      <c r="C45" s="24" t="s">
        <v>79</v>
      </c>
      <c r="D45" s="24"/>
      <c r="E45" s="24"/>
    </row>
    <row r="46" spans="1:5" x14ac:dyDescent="0.3">
      <c r="A46" s="24">
        <v>45</v>
      </c>
      <c r="B46" s="24" t="s">
        <v>329</v>
      </c>
      <c r="C46" s="24" t="s">
        <v>252</v>
      </c>
      <c r="D46" s="24"/>
      <c r="E46" s="24"/>
    </row>
    <row r="47" spans="1:5" x14ac:dyDescent="0.3">
      <c r="A47" s="24">
        <v>46</v>
      </c>
      <c r="B47" s="24" t="s">
        <v>111</v>
      </c>
      <c r="C47" s="24" t="s">
        <v>76</v>
      </c>
      <c r="D47" s="24"/>
      <c r="E47" s="24"/>
    </row>
    <row r="48" spans="1:5" x14ac:dyDescent="0.3">
      <c r="A48" s="24">
        <v>47</v>
      </c>
      <c r="B48" s="24" t="s">
        <v>330</v>
      </c>
      <c r="C48" s="24" t="s">
        <v>81</v>
      </c>
      <c r="D48" s="24"/>
      <c r="E48" s="24"/>
    </row>
    <row r="49" spans="1:5" x14ac:dyDescent="0.3">
      <c r="A49" s="24">
        <v>48</v>
      </c>
      <c r="B49" s="24" t="s">
        <v>331</v>
      </c>
      <c r="C49" s="24" t="s">
        <v>76</v>
      </c>
      <c r="D49" s="24"/>
      <c r="E49" s="24"/>
    </row>
    <row r="50" spans="1:5" x14ac:dyDescent="0.3">
      <c r="A50" s="24">
        <v>49</v>
      </c>
      <c r="B50" s="24" t="s">
        <v>332</v>
      </c>
      <c r="C50" s="24" t="s">
        <v>81</v>
      </c>
      <c r="D50" s="24"/>
      <c r="E50" s="24"/>
    </row>
    <row r="51" spans="1:5" x14ac:dyDescent="0.3">
      <c r="A51" s="24">
        <v>50</v>
      </c>
      <c r="B51" s="24" t="s">
        <v>333</v>
      </c>
      <c r="C51" s="24" t="s">
        <v>252</v>
      </c>
      <c r="D51" s="24"/>
      <c r="E51" s="24"/>
    </row>
    <row r="52" spans="1:5" x14ac:dyDescent="0.3">
      <c r="A52" s="24">
        <v>51</v>
      </c>
      <c r="B52" s="24" t="s">
        <v>334</v>
      </c>
      <c r="C52" s="24" t="s">
        <v>77</v>
      </c>
      <c r="D52" s="24"/>
      <c r="E52" s="24"/>
    </row>
    <row r="53" spans="1:5" x14ac:dyDescent="0.3">
      <c r="A53" s="24">
        <v>52</v>
      </c>
      <c r="B53" s="24" t="s">
        <v>335</v>
      </c>
      <c r="C53" s="24" t="s">
        <v>76</v>
      </c>
      <c r="D53" s="24"/>
      <c r="E53" s="24"/>
    </row>
    <row r="54" spans="1:5" x14ac:dyDescent="0.3">
      <c r="A54" s="24">
        <v>53</v>
      </c>
      <c r="B54" s="24" t="s">
        <v>336</v>
      </c>
      <c r="C54" s="24" t="s">
        <v>79</v>
      </c>
      <c r="D54" s="24"/>
      <c r="E54" s="24"/>
    </row>
    <row r="55" spans="1:5" x14ac:dyDescent="0.3">
      <c r="A55" s="24">
        <v>54</v>
      </c>
      <c r="B55" s="24" t="s">
        <v>337</v>
      </c>
      <c r="C55" s="24" t="s">
        <v>77</v>
      </c>
      <c r="D55" s="24"/>
      <c r="E55" s="24"/>
    </row>
    <row r="56" spans="1:5" x14ac:dyDescent="0.3">
      <c r="A56" s="24">
        <v>55</v>
      </c>
      <c r="B56" s="24" t="s">
        <v>338</v>
      </c>
      <c r="C56" s="24" t="s">
        <v>77</v>
      </c>
      <c r="D56" s="24"/>
      <c r="E56" s="24"/>
    </row>
    <row r="57" spans="1:5" x14ac:dyDescent="0.3">
      <c r="A57" s="24">
        <v>56</v>
      </c>
      <c r="B57" s="24" t="s">
        <v>114</v>
      </c>
      <c r="C57" s="24" t="s">
        <v>76</v>
      </c>
      <c r="D57" s="24"/>
      <c r="E57" s="24"/>
    </row>
    <row r="58" spans="1:5" x14ac:dyDescent="0.3">
      <c r="A58" s="24">
        <v>57</v>
      </c>
      <c r="B58" s="24" t="s">
        <v>339</v>
      </c>
      <c r="C58" s="24" t="s">
        <v>81</v>
      </c>
      <c r="D58" s="24"/>
      <c r="E58" s="24"/>
    </row>
    <row r="59" spans="1:5" x14ac:dyDescent="0.3">
      <c r="A59" s="24">
        <v>58</v>
      </c>
      <c r="B59" s="24" t="s">
        <v>340</v>
      </c>
      <c r="C59" s="24" t="s">
        <v>79</v>
      </c>
      <c r="D59" s="24"/>
      <c r="E59" s="24"/>
    </row>
    <row r="60" spans="1:5" x14ac:dyDescent="0.3">
      <c r="A60" s="24">
        <v>59</v>
      </c>
      <c r="B60" s="24" t="s">
        <v>341</v>
      </c>
      <c r="C60" s="24" t="s">
        <v>79</v>
      </c>
      <c r="D60" s="24"/>
      <c r="E60" s="24"/>
    </row>
    <row r="61" spans="1:5" x14ac:dyDescent="0.3">
      <c r="A61" s="24">
        <v>60</v>
      </c>
      <c r="B61" s="24" t="s">
        <v>117</v>
      </c>
      <c r="C61" s="24" t="s">
        <v>76</v>
      </c>
      <c r="D61" s="24"/>
      <c r="E61" s="24"/>
    </row>
    <row r="62" spans="1:5" x14ac:dyDescent="0.3">
      <c r="A62" s="24">
        <v>61</v>
      </c>
      <c r="B62" s="24" t="s">
        <v>64</v>
      </c>
      <c r="C62" s="24" t="s">
        <v>252</v>
      </c>
      <c r="D62" s="24"/>
      <c r="E62" s="24"/>
    </row>
    <row r="63" spans="1:5" x14ac:dyDescent="0.3">
      <c r="A63" s="24">
        <v>62</v>
      </c>
      <c r="B63" s="24" t="s">
        <v>118</v>
      </c>
      <c r="C63" s="24" t="s">
        <v>79</v>
      </c>
      <c r="D63" s="24"/>
      <c r="E63" s="24"/>
    </row>
    <row r="64" spans="1:5" x14ac:dyDescent="0.3">
      <c r="A64" s="24">
        <v>63</v>
      </c>
      <c r="B64" s="24" t="s">
        <v>342</v>
      </c>
      <c r="C64" s="24" t="s">
        <v>77</v>
      </c>
      <c r="D64" s="24"/>
      <c r="E64" s="24"/>
    </row>
    <row r="65" spans="1:5" x14ac:dyDescent="0.3">
      <c r="A65" s="24">
        <v>64</v>
      </c>
      <c r="B65" s="24" t="s">
        <v>52</v>
      </c>
      <c r="C65" s="24" t="s">
        <v>81</v>
      </c>
      <c r="D65" s="24"/>
      <c r="E65" s="24"/>
    </row>
    <row r="66" spans="1:5" x14ac:dyDescent="0.3">
      <c r="A66" s="24">
        <v>65</v>
      </c>
      <c r="B66" s="24" t="s">
        <v>37</v>
      </c>
      <c r="C66" s="24" t="s">
        <v>80</v>
      </c>
      <c r="D66" s="24"/>
      <c r="E66" s="24"/>
    </row>
    <row r="67" spans="1:5" x14ac:dyDescent="0.3">
      <c r="A67" s="24">
        <v>66</v>
      </c>
      <c r="B67" s="24" t="s">
        <v>51</v>
      </c>
      <c r="C67" s="24" t="s">
        <v>81</v>
      </c>
      <c r="D67" s="24"/>
      <c r="E67" s="24"/>
    </row>
    <row r="68" spans="1:5" x14ac:dyDescent="0.3">
      <c r="A68" s="24">
        <v>67</v>
      </c>
      <c r="B68" s="24" t="s">
        <v>343</v>
      </c>
      <c r="C68" s="24" t="s">
        <v>77</v>
      </c>
      <c r="D68" s="24"/>
      <c r="E68" s="24"/>
    </row>
    <row r="69" spans="1:5" x14ac:dyDescent="0.3">
      <c r="A69" s="24">
        <v>68</v>
      </c>
      <c r="B69" s="24" t="s">
        <v>46</v>
      </c>
      <c r="C69" s="24" t="s">
        <v>80</v>
      </c>
      <c r="D69" s="24"/>
      <c r="E69" s="24"/>
    </row>
    <row r="70" spans="1:5" x14ac:dyDescent="0.3">
      <c r="A70" s="24">
        <v>69</v>
      </c>
      <c r="B70" s="24" t="s">
        <v>344</v>
      </c>
      <c r="C70" s="24" t="s">
        <v>252</v>
      </c>
      <c r="D70" s="24"/>
      <c r="E70" s="24"/>
    </row>
    <row r="71" spans="1:5" x14ac:dyDescent="0.3">
      <c r="A71" s="24">
        <v>70</v>
      </c>
      <c r="B71" s="24" t="s">
        <v>528</v>
      </c>
      <c r="C71" s="24" t="s">
        <v>81</v>
      </c>
      <c r="D71" s="24"/>
      <c r="E71" s="24"/>
    </row>
    <row r="72" spans="1:5" x14ac:dyDescent="0.3">
      <c r="A72" s="24">
        <v>71</v>
      </c>
      <c r="B72" s="24" t="s">
        <v>121</v>
      </c>
      <c r="C72" s="24" t="s">
        <v>252</v>
      </c>
      <c r="D72" s="24"/>
      <c r="E72" s="24"/>
    </row>
    <row r="73" spans="1:5" x14ac:dyDescent="0.3">
      <c r="A73" s="24">
        <v>72</v>
      </c>
      <c r="B73" s="24" t="s">
        <v>122</v>
      </c>
      <c r="C73" s="24" t="s">
        <v>252</v>
      </c>
      <c r="D73" s="24"/>
      <c r="E73" s="24"/>
    </row>
    <row r="74" spans="1:5" x14ac:dyDescent="0.3">
      <c r="A74" s="24">
        <v>73</v>
      </c>
      <c r="B74" s="24" t="s">
        <v>346</v>
      </c>
      <c r="C74" s="24" t="s">
        <v>77</v>
      </c>
      <c r="D74" s="24"/>
      <c r="E74" s="24"/>
    </row>
    <row r="75" spans="1:5" x14ac:dyDescent="0.3">
      <c r="A75" s="24">
        <v>74</v>
      </c>
      <c r="B75" s="24" t="s">
        <v>347</v>
      </c>
      <c r="C75" s="24" t="s">
        <v>77</v>
      </c>
      <c r="D75" s="24"/>
      <c r="E75" s="24"/>
    </row>
    <row r="76" spans="1:5" x14ac:dyDescent="0.3">
      <c r="A76" s="24">
        <v>75</v>
      </c>
      <c r="B76" s="24" t="s">
        <v>68</v>
      </c>
      <c r="C76" s="24" t="s">
        <v>79</v>
      </c>
      <c r="D76" s="24"/>
      <c r="E76" s="24"/>
    </row>
    <row r="77" spans="1:5" x14ac:dyDescent="0.3">
      <c r="A77" s="24">
        <v>76</v>
      </c>
      <c r="B77" s="24" t="s">
        <v>42</v>
      </c>
      <c r="C77" s="24" t="s">
        <v>77</v>
      </c>
      <c r="D77" s="24"/>
      <c r="E77" s="24"/>
    </row>
    <row r="78" spans="1:5" x14ac:dyDescent="0.3">
      <c r="A78" s="24">
        <v>77</v>
      </c>
      <c r="B78" s="24" t="s">
        <v>348</v>
      </c>
      <c r="C78" s="24" t="s">
        <v>81</v>
      </c>
      <c r="D78" s="24"/>
      <c r="E78" s="24"/>
    </row>
    <row r="79" spans="1:5" x14ac:dyDescent="0.3">
      <c r="A79" s="24">
        <v>78</v>
      </c>
      <c r="B79" s="24" t="s">
        <v>44</v>
      </c>
      <c r="C79" s="24" t="s">
        <v>81</v>
      </c>
      <c r="D79" s="24"/>
      <c r="E79" s="24"/>
    </row>
    <row r="80" spans="1:5" x14ac:dyDescent="0.3">
      <c r="A80" s="24">
        <v>79</v>
      </c>
      <c r="B80" s="24" t="s">
        <v>48</v>
      </c>
      <c r="C80" s="24" t="s">
        <v>81</v>
      </c>
      <c r="D80" s="24"/>
      <c r="E80" s="24"/>
    </row>
    <row r="81" spans="1:5" x14ac:dyDescent="0.3">
      <c r="A81" s="24">
        <v>80</v>
      </c>
      <c r="B81" s="24" t="s">
        <v>124</v>
      </c>
      <c r="C81" s="24" t="s">
        <v>79</v>
      </c>
      <c r="D81" s="24"/>
      <c r="E81" s="24"/>
    </row>
    <row r="82" spans="1:5" x14ac:dyDescent="0.3">
      <c r="A82" s="24">
        <v>81</v>
      </c>
      <c r="B82" s="24" t="s">
        <v>125</v>
      </c>
      <c r="C82" s="24" t="s">
        <v>80</v>
      </c>
      <c r="D82" s="24"/>
      <c r="E82" s="24"/>
    </row>
    <row r="83" spans="1:5" x14ac:dyDescent="0.3">
      <c r="A83" s="24">
        <v>82</v>
      </c>
      <c r="B83" s="24" t="s">
        <v>126</v>
      </c>
      <c r="C83" s="24" t="s">
        <v>81</v>
      </c>
      <c r="D83" s="24"/>
      <c r="E83" s="24"/>
    </row>
    <row r="84" spans="1:5" x14ac:dyDescent="0.3">
      <c r="A84" s="24">
        <v>83</v>
      </c>
      <c r="B84" s="24" t="s">
        <v>349</v>
      </c>
      <c r="C84" s="24" t="s">
        <v>77</v>
      </c>
      <c r="D84" s="24"/>
      <c r="E84" s="24"/>
    </row>
    <row r="85" spans="1:5" x14ac:dyDescent="0.3">
      <c r="A85" s="24">
        <v>84</v>
      </c>
      <c r="B85" s="24" t="s">
        <v>13</v>
      </c>
      <c r="C85" s="24" t="s">
        <v>79</v>
      </c>
      <c r="D85" s="24"/>
      <c r="E85" s="24"/>
    </row>
    <row r="86" spans="1:5" x14ac:dyDescent="0.3">
      <c r="A86" s="24">
        <v>85</v>
      </c>
      <c r="B86" s="24" t="s">
        <v>50</v>
      </c>
      <c r="C86" s="24" t="s">
        <v>77</v>
      </c>
      <c r="D86" s="24"/>
      <c r="E86" s="24"/>
    </row>
    <row r="87" spans="1:5" x14ac:dyDescent="0.3">
      <c r="A87" s="24">
        <v>86</v>
      </c>
      <c r="B87" s="24" t="s">
        <v>342</v>
      </c>
      <c r="C87" s="24" t="s">
        <v>77</v>
      </c>
      <c r="D87" s="24"/>
      <c r="E87" s="24"/>
    </row>
    <row r="88" spans="1:5" x14ac:dyDescent="0.3">
      <c r="A88" s="24">
        <v>87</v>
      </c>
      <c r="B88" s="24" t="s">
        <v>350</v>
      </c>
      <c r="C88" s="24" t="s">
        <v>252</v>
      </c>
      <c r="D88" s="24"/>
      <c r="E88" s="24"/>
    </row>
    <row r="89" spans="1:5" x14ac:dyDescent="0.3">
      <c r="A89" s="24">
        <v>88</v>
      </c>
      <c r="B89" s="24" t="s">
        <v>130</v>
      </c>
      <c r="C89" s="24" t="s">
        <v>77</v>
      </c>
      <c r="D89" s="24"/>
      <c r="E89" s="24"/>
    </row>
    <row r="90" spans="1:5" x14ac:dyDescent="0.3">
      <c r="A90" s="24">
        <v>89</v>
      </c>
      <c r="B90" s="24" t="s">
        <v>351</v>
      </c>
      <c r="C90" s="24" t="s">
        <v>77</v>
      </c>
      <c r="D90" s="24"/>
      <c r="E90" s="24"/>
    </row>
    <row r="91" spans="1:5" x14ac:dyDescent="0.3">
      <c r="A91" s="24">
        <v>90</v>
      </c>
      <c r="B91" s="24" t="s">
        <v>352</v>
      </c>
      <c r="C91" s="24" t="s">
        <v>79</v>
      </c>
      <c r="D91" s="24"/>
      <c r="E91" s="24"/>
    </row>
    <row r="92" spans="1:5" x14ac:dyDescent="0.3">
      <c r="A92" s="24">
        <v>91</v>
      </c>
      <c r="B92" s="24" t="s">
        <v>529</v>
      </c>
      <c r="C92" s="24" t="s">
        <v>77</v>
      </c>
      <c r="D92" s="24"/>
      <c r="E92" s="24"/>
    </row>
    <row r="93" spans="1:5" x14ac:dyDescent="0.3">
      <c r="A93" s="24">
        <v>92</v>
      </c>
      <c r="B93" s="24" t="s">
        <v>354</v>
      </c>
      <c r="C93" s="24" t="s">
        <v>77</v>
      </c>
      <c r="D93" s="24"/>
      <c r="E93" s="24"/>
    </row>
    <row r="94" spans="1:5" x14ac:dyDescent="0.3">
      <c r="A94" s="24">
        <v>93</v>
      </c>
      <c r="B94" s="24" t="s">
        <v>355</v>
      </c>
      <c r="C94" s="24" t="s">
        <v>77</v>
      </c>
      <c r="D94" s="24"/>
      <c r="E94" s="24"/>
    </row>
    <row r="95" spans="1:5" x14ac:dyDescent="0.3">
      <c r="A95" s="24">
        <v>94</v>
      </c>
      <c r="B95" s="24" t="s">
        <v>356</v>
      </c>
      <c r="C95" s="24" t="s">
        <v>79</v>
      </c>
      <c r="D95" s="24"/>
      <c r="E95" s="24"/>
    </row>
    <row r="96" spans="1:5" x14ac:dyDescent="0.3">
      <c r="A96" s="24">
        <v>95</v>
      </c>
      <c r="B96" s="24" t="s">
        <v>35</v>
      </c>
      <c r="C96" s="24" t="s">
        <v>76</v>
      </c>
      <c r="D96" s="24"/>
      <c r="E96" s="24"/>
    </row>
    <row r="97" spans="1:5" x14ac:dyDescent="0.3">
      <c r="A97" s="24">
        <v>96</v>
      </c>
      <c r="B97" s="24" t="s">
        <v>133</v>
      </c>
      <c r="C97" s="24" t="s">
        <v>82</v>
      </c>
      <c r="D97" s="24"/>
      <c r="E97" s="24"/>
    </row>
    <row r="98" spans="1:5" x14ac:dyDescent="0.3">
      <c r="A98" s="24">
        <v>97</v>
      </c>
      <c r="B98" s="24" t="s">
        <v>357</v>
      </c>
      <c r="C98" s="24" t="s">
        <v>252</v>
      </c>
      <c r="D98" s="24"/>
      <c r="E98" s="24"/>
    </row>
    <row r="99" spans="1:5" x14ac:dyDescent="0.3">
      <c r="A99" s="24">
        <v>98</v>
      </c>
      <c r="B99" s="24" t="s">
        <v>358</v>
      </c>
      <c r="C99" s="24" t="s">
        <v>77</v>
      </c>
      <c r="D99" s="24"/>
      <c r="E99" s="24"/>
    </row>
    <row r="100" spans="1:5" x14ac:dyDescent="0.3">
      <c r="A100" s="24">
        <v>99</v>
      </c>
      <c r="B100" s="24" t="s">
        <v>359</v>
      </c>
      <c r="C100" s="24" t="s">
        <v>79</v>
      </c>
      <c r="D100" s="24"/>
      <c r="E100" s="24"/>
    </row>
    <row r="101" spans="1:5" x14ac:dyDescent="0.3">
      <c r="A101" s="24">
        <v>100</v>
      </c>
      <c r="B101" s="24" t="s">
        <v>360</v>
      </c>
      <c r="C101" s="24" t="s">
        <v>79</v>
      </c>
      <c r="D101" s="24"/>
      <c r="E101" s="24"/>
    </row>
    <row r="102" spans="1:5" x14ac:dyDescent="0.3">
      <c r="A102" s="24">
        <v>101</v>
      </c>
      <c r="B102" s="24" t="s">
        <v>361</v>
      </c>
      <c r="C102" s="24" t="s">
        <v>79</v>
      </c>
      <c r="D102" s="24"/>
      <c r="E102" s="24"/>
    </row>
    <row r="103" spans="1:5" x14ac:dyDescent="0.3">
      <c r="A103" s="24">
        <v>102</v>
      </c>
      <c r="B103" s="24" t="s">
        <v>362</v>
      </c>
      <c r="C103" s="24" t="s">
        <v>252</v>
      </c>
      <c r="D103" s="24"/>
      <c r="E103" s="24"/>
    </row>
    <row r="104" spans="1:5" x14ac:dyDescent="0.3">
      <c r="A104" s="24">
        <v>103</v>
      </c>
      <c r="B104" s="24" t="s">
        <v>363</v>
      </c>
      <c r="C104" s="24" t="s">
        <v>77</v>
      </c>
      <c r="D104" s="24"/>
      <c r="E104" s="24"/>
    </row>
    <row r="105" spans="1:5" x14ac:dyDescent="0.3">
      <c r="A105" s="24">
        <v>104</v>
      </c>
      <c r="B105" s="24" t="s">
        <v>530</v>
      </c>
      <c r="C105" s="24" t="s">
        <v>77</v>
      </c>
      <c r="D105" s="24"/>
      <c r="E105" s="24"/>
    </row>
    <row r="106" spans="1:5" x14ac:dyDescent="0.3">
      <c r="A106" s="24">
        <v>105</v>
      </c>
      <c r="B106" s="24" t="s">
        <v>365</v>
      </c>
      <c r="C106" s="24" t="s">
        <v>77</v>
      </c>
      <c r="D106" s="24"/>
      <c r="E106" s="24"/>
    </row>
    <row r="107" spans="1:5" x14ac:dyDescent="0.3">
      <c r="A107" s="24">
        <v>106</v>
      </c>
      <c r="B107" s="24" t="s">
        <v>366</v>
      </c>
      <c r="C107" s="24" t="s">
        <v>79</v>
      </c>
      <c r="D107" s="24"/>
      <c r="E107" s="24"/>
    </row>
    <row r="108" spans="1:5" x14ac:dyDescent="0.3">
      <c r="A108" s="24">
        <v>107</v>
      </c>
      <c r="B108" s="24" t="s">
        <v>367</v>
      </c>
      <c r="C108" s="24" t="s">
        <v>77</v>
      </c>
      <c r="D108" s="24"/>
      <c r="E108" s="24"/>
    </row>
    <row r="109" spans="1:5" x14ac:dyDescent="0.3">
      <c r="A109" s="24">
        <v>108</v>
      </c>
      <c r="B109" s="24" t="s">
        <v>368</v>
      </c>
      <c r="C109" s="24" t="s">
        <v>77</v>
      </c>
      <c r="D109" s="24"/>
      <c r="E109" s="24"/>
    </row>
    <row r="110" spans="1:5" x14ac:dyDescent="0.3">
      <c r="A110" s="24">
        <v>109</v>
      </c>
      <c r="B110" s="24" t="s">
        <v>369</v>
      </c>
      <c r="C110" s="24" t="s">
        <v>252</v>
      </c>
      <c r="D110" s="24"/>
      <c r="E110" s="24"/>
    </row>
    <row r="111" spans="1:5" x14ac:dyDescent="0.3">
      <c r="A111" s="24">
        <v>110</v>
      </c>
      <c r="B111" s="24" t="s">
        <v>370</v>
      </c>
      <c r="C111" s="24" t="s">
        <v>77</v>
      </c>
      <c r="D111" s="24"/>
      <c r="E111" s="24"/>
    </row>
    <row r="112" spans="1:5" x14ac:dyDescent="0.3">
      <c r="A112" s="24">
        <v>111</v>
      </c>
      <c r="B112" s="24" t="s">
        <v>531</v>
      </c>
      <c r="C112" s="24" t="s">
        <v>77</v>
      </c>
      <c r="D112" s="24"/>
      <c r="E112" s="24"/>
    </row>
    <row r="113" spans="1:5" x14ac:dyDescent="0.3">
      <c r="A113" s="24">
        <v>112</v>
      </c>
      <c r="B113" s="24" t="s">
        <v>372</v>
      </c>
      <c r="C113" s="24" t="s">
        <v>77</v>
      </c>
      <c r="D113" s="24"/>
      <c r="E113" s="24"/>
    </row>
    <row r="114" spans="1:5" x14ac:dyDescent="0.3">
      <c r="A114" s="24">
        <v>113</v>
      </c>
      <c r="B114" s="24" t="s">
        <v>15</v>
      </c>
      <c r="C114" s="24" t="s">
        <v>76</v>
      </c>
      <c r="D114" s="24"/>
      <c r="E114" s="24"/>
    </row>
    <row r="115" spans="1:5" x14ac:dyDescent="0.3">
      <c r="A115" s="24">
        <v>114</v>
      </c>
      <c r="B115" s="24" t="s">
        <v>532</v>
      </c>
      <c r="C115" s="24" t="s">
        <v>81</v>
      </c>
      <c r="D115" s="24"/>
      <c r="E115" s="24"/>
    </row>
    <row r="116" spans="1:5" x14ac:dyDescent="0.3">
      <c r="A116" s="24">
        <v>115</v>
      </c>
      <c r="B116" s="24" t="s">
        <v>144</v>
      </c>
      <c r="C116" s="24" t="s">
        <v>81</v>
      </c>
      <c r="D116" s="24"/>
      <c r="E116" s="24"/>
    </row>
    <row r="117" spans="1:5" x14ac:dyDescent="0.3">
      <c r="A117" s="24">
        <v>116</v>
      </c>
      <c r="B117" s="24" t="s">
        <v>374</v>
      </c>
      <c r="C117" s="24" t="s">
        <v>77</v>
      </c>
      <c r="D117" s="24"/>
      <c r="E117" s="24"/>
    </row>
    <row r="118" spans="1:5" x14ac:dyDescent="0.3">
      <c r="A118" s="24">
        <v>117</v>
      </c>
      <c r="B118" s="24" t="s">
        <v>488</v>
      </c>
      <c r="C118" s="24" t="s">
        <v>77</v>
      </c>
      <c r="D118" s="24"/>
      <c r="E118" s="24"/>
    </row>
    <row r="119" spans="1:5" x14ac:dyDescent="0.3">
      <c r="A119" s="24">
        <v>118</v>
      </c>
      <c r="B119" s="24" t="s">
        <v>63</v>
      </c>
      <c r="C119" s="24" t="s">
        <v>252</v>
      </c>
      <c r="D119" s="24"/>
      <c r="E119" s="24"/>
    </row>
    <row r="120" spans="1:5" x14ac:dyDescent="0.3">
      <c r="A120" s="24">
        <v>119</v>
      </c>
      <c r="B120" s="24" t="s">
        <v>376</v>
      </c>
      <c r="C120" s="24" t="s">
        <v>77</v>
      </c>
      <c r="D120" s="24"/>
      <c r="E120" s="24"/>
    </row>
    <row r="121" spans="1:5" x14ac:dyDescent="0.3">
      <c r="A121" s="24">
        <v>120</v>
      </c>
      <c r="B121" s="24" t="s">
        <v>377</v>
      </c>
      <c r="C121" s="24" t="s">
        <v>80</v>
      </c>
      <c r="D121" s="24"/>
      <c r="E121" s="24"/>
    </row>
    <row r="122" spans="1:5" x14ac:dyDescent="0.3">
      <c r="A122" s="24">
        <v>121</v>
      </c>
      <c r="B122" s="24" t="s">
        <v>378</v>
      </c>
      <c r="C122" s="24" t="s">
        <v>76</v>
      </c>
      <c r="D122" s="24"/>
      <c r="E122" s="24"/>
    </row>
    <row r="123" spans="1:5" x14ac:dyDescent="0.3">
      <c r="A123" s="24">
        <v>122</v>
      </c>
      <c r="B123" s="24" t="s">
        <v>148</v>
      </c>
      <c r="C123" s="24" t="s">
        <v>76</v>
      </c>
      <c r="D123" s="24"/>
      <c r="E123" s="24"/>
    </row>
    <row r="124" spans="1:5" x14ac:dyDescent="0.3">
      <c r="A124" s="24">
        <v>123</v>
      </c>
      <c r="B124" s="24" t="s">
        <v>149</v>
      </c>
      <c r="C124" s="24" t="s">
        <v>76</v>
      </c>
      <c r="D124" s="24"/>
      <c r="E124" s="24"/>
    </row>
    <row r="125" spans="1:5" x14ac:dyDescent="0.3">
      <c r="A125" s="24">
        <v>124</v>
      </c>
      <c r="B125" s="24" t="s">
        <v>379</v>
      </c>
      <c r="C125" s="24" t="s">
        <v>77</v>
      </c>
      <c r="D125" s="24"/>
      <c r="E125" s="24"/>
    </row>
    <row r="126" spans="1:5" x14ac:dyDescent="0.3">
      <c r="A126" s="24">
        <v>125</v>
      </c>
      <c r="B126" s="24" t="s">
        <v>533</v>
      </c>
      <c r="C126" s="24" t="s">
        <v>77</v>
      </c>
      <c r="D126" s="24"/>
      <c r="E126" s="24"/>
    </row>
    <row r="127" spans="1:5" x14ac:dyDescent="0.3">
      <c r="A127" s="24">
        <v>126</v>
      </c>
      <c r="B127" s="24" t="s">
        <v>32</v>
      </c>
      <c r="C127" s="24" t="s">
        <v>76</v>
      </c>
      <c r="D127" s="24"/>
      <c r="E127" s="24"/>
    </row>
    <row r="128" spans="1:5" x14ac:dyDescent="0.3">
      <c r="A128" s="24">
        <v>127</v>
      </c>
      <c r="B128" s="24" t="s">
        <v>381</v>
      </c>
      <c r="C128" s="24" t="s">
        <v>77</v>
      </c>
      <c r="D128" s="24"/>
      <c r="E128" s="24"/>
    </row>
    <row r="129" spans="1:5" x14ac:dyDescent="0.3">
      <c r="A129" s="24">
        <v>128</v>
      </c>
      <c r="B129" s="24" t="s">
        <v>151</v>
      </c>
      <c r="C129" s="24" t="s">
        <v>252</v>
      </c>
      <c r="D129" s="24"/>
      <c r="E129" s="24"/>
    </row>
    <row r="130" spans="1:5" x14ac:dyDescent="0.3">
      <c r="A130" s="24">
        <v>129</v>
      </c>
      <c r="B130" s="24" t="s">
        <v>382</v>
      </c>
      <c r="C130" s="24" t="s">
        <v>79</v>
      </c>
      <c r="D130" s="24"/>
      <c r="E130" s="24"/>
    </row>
    <row r="131" spans="1:5" x14ac:dyDescent="0.3">
      <c r="A131" s="24">
        <v>130</v>
      </c>
      <c r="B131" s="24" t="s">
        <v>11</v>
      </c>
      <c r="C131" s="24" t="s">
        <v>76</v>
      </c>
      <c r="D131" s="24"/>
      <c r="E131" s="24"/>
    </row>
    <row r="132" spans="1:5" x14ac:dyDescent="0.3">
      <c r="A132" s="24">
        <v>131</v>
      </c>
      <c r="B132" s="24" t="s">
        <v>383</v>
      </c>
      <c r="C132" s="24" t="s">
        <v>81</v>
      </c>
      <c r="D132" s="24"/>
      <c r="E132" s="24"/>
    </row>
    <row r="133" spans="1:5" x14ac:dyDescent="0.3">
      <c r="A133" s="24">
        <v>132</v>
      </c>
      <c r="B133" s="24" t="s">
        <v>22</v>
      </c>
      <c r="C133" s="24" t="s">
        <v>79</v>
      </c>
      <c r="D133" s="24"/>
      <c r="E133" s="24"/>
    </row>
    <row r="134" spans="1:5" x14ac:dyDescent="0.3">
      <c r="A134" s="24">
        <v>133</v>
      </c>
      <c r="B134" s="24" t="s">
        <v>31</v>
      </c>
      <c r="C134" s="24" t="s">
        <v>79</v>
      </c>
      <c r="D134" s="24"/>
      <c r="E134" s="24"/>
    </row>
    <row r="135" spans="1:5" x14ac:dyDescent="0.3">
      <c r="A135" s="24">
        <v>134</v>
      </c>
      <c r="B135" s="24" t="s">
        <v>153</v>
      </c>
      <c r="C135" s="24" t="s">
        <v>252</v>
      </c>
      <c r="D135" s="24"/>
      <c r="E135" s="24"/>
    </row>
    <row r="136" spans="1:5" x14ac:dyDescent="0.3">
      <c r="A136" s="24">
        <v>135</v>
      </c>
      <c r="B136" s="24" t="s">
        <v>384</v>
      </c>
      <c r="C136" s="24" t="s">
        <v>252</v>
      </c>
      <c r="D136" s="24"/>
      <c r="E136" s="24"/>
    </row>
    <row r="137" spans="1:5" x14ac:dyDescent="0.3">
      <c r="A137" s="24">
        <v>136</v>
      </c>
      <c r="B137" s="24" t="s">
        <v>385</v>
      </c>
      <c r="C137" s="24" t="s">
        <v>252</v>
      </c>
      <c r="D137" s="24"/>
      <c r="E137" s="24"/>
    </row>
    <row r="138" spans="1:5" x14ac:dyDescent="0.3">
      <c r="A138" s="24">
        <v>137</v>
      </c>
      <c r="B138" s="24" t="s">
        <v>461</v>
      </c>
      <c r="C138" s="24" t="s">
        <v>80</v>
      </c>
      <c r="D138" s="24"/>
      <c r="E138" s="24"/>
    </row>
    <row r="139" spans="1:5" x14ac:dyDescent="0.3">
      <c r="A139" s="24">
        <v>138</v>
      </c>
      <c r="B139" s="24" t="s">
        <v>387</v>
      </c>
      <c r="C139" s="24" t="s">
        <v>79</v>
      </c>
      <c r="D139" s="24"/>
      <c r="E139" s="24"/>
    </row>
    <row r="140" spans="1:5" x14ac:dyDescent="0.3">
      <c r="A140" s="24">
        <v>139</v>
      </c>
      <c r="B140" s="24" t="s">
        <v>156</v>
      </c>
      <c r="C140" s="24" t="s">
        <v>77</v>
      </c>
      <c r="D140" s="24"/>
      <c r="E140" s="24"/>
    </row>
    <row r="141" spans="1:5" x14ac:dyDescent="0.3">
      <c r="A141" s="24">
        <v>140</v>
      </c>
      <c r="B141" s="24" t="s">
        <v>388</v>
      </c>
      <c r="C141" s="24" t="s">
        <v>81</v>
      </c>
      <c r="D141" s="23"/>
      <c r="E141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M211"/>
  <sheetViews>
    <sheetView topLeftCell="F1" zoomScale="85" zoomScaleNormal="85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8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3" bestFit="1" customWidth="1"/>
    <col min="13" max="13" width="21" bestFit="1" customWidth="1"/>
  </cols>
  <sheetData>
    <row r="1" spans="1:13" x14ac:dyDescent="0.3">
      <c r="A1" s="1" t="s">
        <v>75</v>
      </c>
      <c r="B1" s="2" t="s">
        <v>74</v>
      </c>
      <c r="C1" s="2" t="s">
        <v>244</v>
      </c>
      <c r="D1" s="1" t="s">
        <v>511</v>
      </c>
      <c r="E1" s="19" t="s">
        <v>510</v>
      </c>
      <c r="F1" s="19" t="s">
        <v>512</v>
      </c>
      <c r="G1" s="2" t="s">
        <v>259</v>
      </c>
      <c r="H1" s="1" t="s">
        <v>3</v>
      </c>
      <c r="J1" s="1" t="s">
        <v>231</v>
      </c>
      <c r="K1" s="1" t="s">
        <v>229</v>
      </c>
      <c r="L1" s="1" t="s">
        <v>230</v>
      </c>
    </row>
    <row r="2" spans="1:13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24" t="s">
        <v>81</v>
      </c>
      <c r="E2" s="24"/>
      <c r="F2" s="24"/>
      <c r="G2" s="1" t="s">
        <v>81</v>
      </c>
      <c r="H2" s="1" t="b">
        <f>IF(OR(D2=G2, E2=G2, F2=G2), TRUE, FALSE)</f>
        <v>1</v>
      </c>
      <c r="J2" s="1">
        <v>210</v>
      </c>
      <c r="K2" s="1">
        <f>COUNTIF(H2:H211, TRUE)</f>
        <v>133</v>
      </c>
      <c r="L2" s="4">
        <f>K2/J2</f>
        <v>0.6333333333333333</v>
      </c>
    </row>
    <row r="3" spans="1:13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24" t="s">
        <v>76</v>
      </c>
      <c r="E3" s="24"/>
      <c r="F3" s="24"/>
      <c r="G3" s="1" t="s">
        <v>76</v>
      </c>
      <c r="H3" s="19" t="b">
        <f t="shared" ref="H3:H66" si="0">IF(OR(D3=G3, E3=G3, F3=G3), TRUE, FALSE)</f>
        <v>1</v>
      </c>
    </row>
    <row r="4" spans="1:13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24" t="s">
        <v>80</v>
      </c>
      <c r="E4" s="24"/>
      <c r="F4" s="24"/>
      <c r="G4" s="1" t="s">
        <v>79</v>
      </c>
      <c r="H4" s="19" t="b">
        <f t="shared" si="0"/>
        <v>0</v>
      </c>
      <c r="J4" s="25" t="s">
        <v>237</v>
      </c>
      <c r="K4" s="25"/>
      <c r="L4" s="25"/>
      <c r="M4" s="25"/>
    </row>
    <row r="5" spans="1:13" x14ac:dyDescent="0.3">
      <c r="A5" s="1">
        <v>214</v>
      </c>
      <c r="B5" s="17" t="s">
        <v>389</v>
      </c>
      <c r="C5" s="13" t="str" cm="1">
        <f t="array" ref="C5">_xlfn.IFS(LEN(B5) &lt;= 25, "Short", AND(LEN(B5) &gt; 25, LEN(B5) &lt;= 50), "Medium", LEN(B5) &gt; 50, "Long")</f>
        <v>Short</v>
      </c>
      <c r="D5" s="24" t="s">
        <v>80</v>
      </c>
      <c r="E5" s="24"/>
      <c r="F5" s="24"/>
      <c r="G5" s="1" t="s">
        <v>80</v>
      </c>
      <c r="H5" s="19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x14ac:dyDescent="0.3">
      <c r="A6" s="1">
        <v>215</v>
      </c>
      <c r="B6" s="17" t="s">
        <v>390</v>
      </c>
      <c r="C6" s="13" t="str" cm="1">
        <f t="array" ref="C6">_xlfn.IFS(LEN(B6) &lt;= 25, "Short", AND(LEN(B6) &gt; 25, LEN(B6) &lt;= 50), "Medium", LEN(B6) &gt; 50, "Long")</f>
        <v>Short</v>
      </c>
      <c r="D6" s="24" t="s">
        <v>82</v>
      </c>
      <c r="E6" s="24"/>
      <c r="F6" s="24"/>
      <c r="G6" s="1" t="s">
        <v>82</v>
      </c>
      <c r="H6" s="19" t="b">
        <f t="shared" si="0"/>
        <v>1</v>
      </c>
      <c r="J6" s="1" t="s">
        <v>252</v>
      </c>
      <c r="K6" s="1">
        <f>COUNTIF($G$2:$G$211,J6)</f>
        <v>30</v>
      </c>
      <c r="L6" s="1">
        <f>COUNTIFS($G$2:$G$211, J6, $D$2:$D$211, J6)</f>
        <v>15</v>
      </c>
      <c r="M6" s="3">
        <f>L6/K6</f>
        <v>0.5</v>
      </c>
    </row>
    <row r="7" spans="1:13" x14ac:dyDescent="0.3">
      <c r="A7" s="1">
        <v>216</v>
      </c>
      <c r="B7" s="17" t="s">
        <v>295</v>
      </c>
      <c r="C7" s="13" t="str" cm="1">
        <f t="array" ref="C7">_xlfn.IFS(LEN(B7) &lt;= 25, "Short", AND(LEN(B7) &gt; 25, LEN(B7) &lt;= 50), "Medium", LEN(B7) &gt; 50, "Long")</f>
        <v>Short</v>
      </c>
      <c r="D7" s="24" t="s">
        <v>79</v>
      </c>
      <c r="E7" s="24"/>
      <c r="F7" s="24"/>
      <c r="G7" s="1" t="s">
        <v>79</v>
      </c>
      <c r="H7" s="19" t="b">
        <f t="shared" si="0"/>
        <v>1</v>
      </c>
      <c r="J7" s="1" t="s">
        <v>81</v>
      </c>
      <c r="K7" s="1">
        <f t="shared" ref="K7:K11" si="1">COUNTIF($G$2:$G$211,J7)</f>
        <v>30</v>
      </c>
      <c r="L7" s="1">
        <f t="shared" ref="L7:L12" si="2">COUNTIFS($G$2:$G$211, J7, $D$2:$D$211, J7)</f>
        <v>18</v>
      </c>
      <c r="M7" s="3">
        <f t="shared" ref="M7:M12" si="3">L7/K7</f>
        <v>0.6</v>
      </c>
    </row>
    <row r="8" spans="1:13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24" t="s">
        <v>252</v>
      </c>
      <c r="E8" s="24"/>
      <c r="F8" s="24"/>
      <c r="G8" s="1" t="s">
        <v>252</v>
      </c>
      <c r="H8" s="19" t="b">
        <f t="shared" si="0"/>
        <v>1</v>
      </c>
      <c r="J8" s="1" t="s">
        <v>79</v>
      </c>
      <c r="K8" s="1">
        <f t="shared" si="1"/>
        <v>30</v>
      </c>
      <c r="L8" s="1">
        <f t="shared" si="2"/>
        <v>29</v>
      </c>
      <c r="M8" s="3">
        <f t="shared" si="3"/>
        <v>0.96666666666666667</v>
      </c>
    </row>
    <row r="9" spans="1:13" x14ac:dyDescent="0.3">
      <c r="A9" s="1">
        <v>218</v>
      </c>
      <c r="B9" s="17" t="s">
        <v>391</v>
      </c>
      <c r="C9" s="13" t="str" cm="1">
        <f t="array" ref="C9">_xlfn.IFS(LEN(B9) &lt;= 25, "Short", AND(LEN(B9) &gt; 25, LEN(B9) &lt;= 50), "Medium", LEN(B9) &gt; 50, "Long")</f>
        <v>Short</v>
      </c>
      <c r="D9" s="24" t="s">
        <v>81</v>
      </c>
      <c r="E9" s="24"/>
      <c r="F9" s="24"/>
      <c r="G9" s="1" t="s">
        <v>81</v>
      </c>
      <c r="H9" s="19" t="b">
        <f t="shared" si="0"/>
        <v>1</v>
      </c>
      <c r="J9" s="1" t="s">
        <v>77</v>
      </c>
      <c r="K9" s="1">
        <f t="shared" si="1"/>
        <v>30</v>
      </c>
      <c r="L9" s="1">
        <f t="shared" si="2"/>
        <v>13</v>
      </c>
      <c r="M9" s="3">
        <f t="shared" si="3"/>
        <v>0.43333333333333335</v>
      </c>
    </row>
    <row r="10" spans="1:13" x14ac:dyDescent="0.3">
      <c r="A10" s="1">
        <v>219</v>
      </c>
      <c r="B10" s="17" t="s">
        <v>392</v>
      </c>
      <c r="C10" s="13" t="str" cm="1">
        <f t="array" ref="C10">_xlfn.IFS(LEN(B10) &lt;= 25, "Short", AND(LEN(B10) &gt; 25, LEN(B10) &lt;= 50), "Medium", LEN(B10) &gt; 50, "Long")</f>
        <v>Short</v>
      </c>
      <c r="D10" s="24" t="s">
        <v>79</v>
      </c>
      <c r="E10" s="24"/>
      <c r="F10" s="24"/>
      <c r="G10" s="1" t="s">
        <v>79</v>
      </c>
      <c r="H10" s="19" t="b">
        <f t="shared" si="0"/>
        <v>1</v>
      </c>
      <c r="J10" s="1" t="s">
        <v>82</v>
      </c>
      <c r="K10" s="1">
        <f t="shared" si="1"/>
        <v>30</v>
      </c>
      <c r="L10" s="1">
        <f>COUNTIFS($G$2:$G$211, J10, $D$2:$D$211, J10)</f>
        <v>12</v>
      </c>
      <c r="M10" s="3">
        <f t="shared" si="3"/>
        <v>0.4</v>
      </c>
    </row>
    <row r="11" spans="1:13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24" t="s">
        <v>80</v>
      </c>
      <c r="E11" s="24"/>
      <c r="F11" s="24"/>
      <c r="G11" s="1" t="s">
        <v>80</v>
      </c>
      <c r="H11" s="19" t="b">
        <f t="shared" si="0"/>
        <v>1</v>
      </c>
      <c r="J11" s="1" t="s">
        <v>80</v>
      </c>
      <c r="K11" s="1">
        <f t="shared" si="1"/>
        <v>30</v>
      </c>
      <c r="L11" s="1">
        <f t="shared" si="2"/>
        <v>16</v>
      </c>
      <c r="M11" s="3">
        <f t="shared" si="3"/>
        <v>0.53333333333333333</v>
      </c>
    </row>
    <row r="12" spans="1:13" x14ac:dyDescent="0.3">
      <c r="A12" s="1">
        <v>221</v>
      </c>
      <c r="B12" s="17" t="s">
        <v>393</v>
      </c>
      <c r="C12" s="13" t="str" cm="1">
        <f t="array" ref="C12">_xlfn.IFS(LEN(B12) &lt;= 25, "Short", AND(LEN(B12) &gt; 25, LEN(B12) &lt;= 50), "Medium", LEN(B12) &gt; 50, "Long")</f>
        <v>Short</v>
      </c>
      <c r="D12" s="24" t="s">
        <v>252</v>
      </c>
      <c r="E12" s="24"/>
      <c r="F12" s="24"/>
      <c r="G12" s="1" t="s">
        <v>252</v>
      </c>
      <c r="H12" s="19" t="b">
        <f t="shared" si="0"/>
        <v>1</v>
      </c>
      <c r="J12" s="1" t="s">
        <v>76</v>
      </c>
      <c r="K12" s="1">
        <f>COUNTIF($G$2:$G$211,J12)</f>
        <v>30</v>
      </c>
      <c r="L12" s="1">
        <f t="shared" si="2"/>
        <v>29</v>
      </c>
      <c r="M12" s="3">
        <f t="shared" si="3"/>
        <v>0.96666666666666667</v>
      </c>
    </row>
    <row r="13" spans="1:13" x14ac:dyDescent="0.3">
      <c r="A13" s="1">
        <v>222</v>
      </c>
      <c r="B13" s="17" t="s">
        <v>394</v>
      </c>
      <c r="C13" s="13" t="str" cm="1">
        <f t="array" ref="C13">_xlfn.IFS(LEN(B13) &lt;= 25, "Short", AND(LEN(B13) &gt; 25, LEN(B13) &lt;= 50), "Medium", LEN(B13) &gt; 50, "Long")</f>
        <v>Medium</v>
      </c>
      <c r="D13" s="24" t="s">
        <v>76</v>
      </c>
      <c r="E13" s="24"/>
      <c r="F13" s="24"/>
      <c r="G13" s="1" t="s">
        <v>82</v>
      </c>
      <c r="H13" s="19" t="b">
        <f t="shared" si="0"/>
        <v>0</v>
      </c>
    </row>
    <row r="14" spans="1:13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24" t="s">
        <v>79</v>
      </c>
      <c r="E14" s="24"/>
      <c r="F14" s="24"/>
      <c r="G14" s="1" t="s">
        <v>79</v>
      </c>
      <c r="H14" s="19" t="b">
        <f t="shared" si="0"/>
        <v>1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x14ac:dyDescent="0.3">
      <c r="A15" s="1">
        <v>224</v>
      </c>
      <c r="B15" s="17" t="s">
        <v>395</v>
      </c>
      <c r="C15" s="13" t="str" cm="1">
        <f t="array" ref="C15">_xlfn.IFS(LEN(B15) &lt;= 25, "Short", AND(LEN(B15) &gt; 25, LEN(B15) &lt;= 50), "Medium", LEN(B15) &gt; 50, "Long")</f>
        <v>Short</v>
      </c>
      <c r="D15" s="24" t="s">
        <v>79</v>
      </c>
      <c r="E15" s="24"/>
      <c r="F15" s="24"/>
      <c r="G15" s="1" t="s">
        <v>79</v>
      </c>
      <c r="H15" s="19" t="b">
        <f t="shared" si="0"/>
        <v>1</v>
      </c>
      <c r="J15" s="6" t="s">
        <v>258</v>
      </c>
      <c r="K15" s="6">
        <f>COUNTIF(C2:C211, J15)</f>
        <v>96</v>
      </c>
      <c r="L15" s="6">
        <f>COUNTIFS(C2:C211, J15, H2:H211, TRUE)</f>
        <v>62</v>
      </c>
      <c r="M15" s="4">
        <f>L15/K15</f>
        <v>0.64583333333333337</v>
      </c>
    </row>
    <row r="16" spans="1:13" x14ac:dyDescent="0.3">
      <c r="A16" s="1">
        <v>225</v>
      </c>
      <c r="B16" s="17" t="s">
        <v>396</v>
      </c>
      <c r="C16" s="13" t="str" cm="1">
        <f t="array" ref="C16">_xlfn.IFS(LEN(B16) &lt;= 25, "Short", AND(LEN(B16) &gt; 25, LEN(B16) &lt;= 50), "Medium", LEN(B16) &gt; 50, "Long")</f>
        <v>Medium</v>
      </c>
      <c r="D16" s="24" t="s">
        <v>79</v>
      </c>
      <c r="E16" s="24"/>
      <c r="F16" s="24"/>
      <c r="G16" s="1" t="s">
        <v>81</v>
      </c>
      <c r="H16" s="19" t="b">
        <f t="shared" si="0"/>
        <v>0</v>
      </c>
      <c r="J16" s="6" t="s">
        <v>257</v>
      </c>
      <c r="K16" s="6">
        <f>COUNTIFS(C2:C211, J16)</f>
        <v>96</v>
      </c>
      <c r="L16" s="6">
        <f>COUNTIFS(C2:C211, J16, H2:H211, TRUE)</f>
        <v>60</v>
      </c>
      <c r="M16" s="4">
        <f t="shared" ref="M16:M17" si="4">L16/K16</f>
        <v>0.625</v>
      </c>
    </row>
    <row r="17" spans="1:13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24" t="s">
        <v>80</v>
      </c>
      <c r="E17" s="24"/>
      <c r="F17" s="24"/>
      <c r="G17" s="1" t="s">
        <v>80</v>
      </c>
      <c r="H17" s="19" t="b">
        <f t="shared" si="0"/>
        <v>1</v>
      </c>
      <c r="J17" s="6" t="s">
        <v>256</v>
      </c>
      <c r="K17" s="6">
        <f>COUNTIF(C2:C211, J17)</f>
        <v>18</v>
      </c>
      <c r="L17" s="6">
        <f>COUNTIFS(C2:C211, J17, H2:H211, TRUE)</f>
        <v>11</v>
      </c>
      <c r="M17" s="4">
        <f t="shared" si="4"/>
        <v>0.61111111111111116</v>
      </c>
    </row>
    <row r="18" spans="1:13" x14ac:dyDescent="0.3">
      <c r="A18" s="1">
        <v>227</v>
      </c>
      <c r="B18" s="17" t="s">
        <v>397</v>
      </c>
      <c r="C18" s="13" t="str" cm="1">
        <f t="array" ref="C18">_xlfn.IFS(LEN(B18) &lt;= 25, "Short", AND(LEN(B18) &gt; 25, LEN(B18) &lt;= 50), "Medium", LEN(B18) &gt; 50, "Long")</f>
        <v>Long</v>
      </c>
      <c r="D18" s="24" t="s">
        <v>82</v>
      </c>
      <c r="E18" s="24"/>
      <c r="F18" s="24"/>
      <c r="G18" s="1" t="s">
        <v>80</v>
      </c>
      <c r="H18" s="19" t="b">
        <f t="shared" si="0"/>
        <v>0</v>
      </c>
    </row>
    <row r="19" spans="1:13" x14ac:dyDescent="0.3">
      <c r="A19" s="1">
        <v>228</v>
      </c>
      <c r="B19" s="17" t="s">
        <v>398</v>
      </c>
      <c r="C19" s="13" t="str" cm="1">
        <f t="array" ref="C19">_xlfn.IFS(LEN(B19) &lt;= 25, "Short", AND(LEN(B19) &gt; 25, LEN(B19) &lt;= 50), "Medium", LEN(B19) &gt; 50, "Long")</f>
        <v>Long</v>
      </c>
      <c r="D19" s="24" t="s">
        <v>79</v>
      </c>
      <c r="E19" s="24"/>
      <c r="F19" s="24"/>
      <c r="G19" s="1" t="s">
        <v>82</v>
      </c>
      <c r="H19" s="19" t="b">
        <f t="shared" si="0"/>
        <v>0</v>
      </c>
      <c r="J19" s="25" t="s">
        <v>247</v>
      </c>
      <c r="K19" s="25"/>
    </row>
    <row r="20" spans="1:13" x14ac:dyDescent="0.3">
      <c r="A20" s="1">
        <v>229</v>
      </c>
      <c r="B20" s="17" t="s">
        <v>399</v>
      </c>
      <c r="C20" s="13" t="str" cm="1">
        <f t="array" ref="C20">_xlfn.IFS(LEN(B20) &lt;= 25, "Short", AND(LEN(B20) &gt; 25, LEN(B20) &lt;= 50), "Medium", LEN(B20) &gt; 50, "Long")</f>
        <v>Medium</v>
      </c>
      <c r="D20" s="24" t="s">
        <v>76</v>
      </c>
      <c r="E20" s="24"/>
      <c r="F20" s="24"/>
      <c r="G20" s="1" t="s">
        <v>76</v>
      </c>
      <c r="H20" s="19" t="b">
        <f t="shared" si="0"/>
        <v>1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230</v>
      </c>
      <c r="B21" s="17" t="s">
        <v>285</v>
      </c>
      <c r="C21" s="13" t="str" cm="1">
        <f t="array" ref="C21">_xlfn.IFS(LEN(B21) &lt;= 25, "Short", AND(LEN(B21) &gt; 25, LEN(B21) &lt;= 50), "Medium", LEN(B21) &gt; 50, "Long")</f>
        <v>Short</v>
      </c>
      <c r="D21" s="24" t="s">
        <v>79</v>
      </c>
      <c r="E21" s="24"/>
      <c r="F21" s="24"/>
      <c r="G21" s="1" t="s">
        <v>82</v>
      </c>
      <c r="H21" s="19" t="b">
        <f t="shared" si="0"/>
        <v>0</v>
      </c>
      <c r="J21" s="9" t="s">
        <v>80</v>
      </c>
      <c r="K21" s="9" t="s">
        <v>77</v>
      </c>
      <c r="L21" s="7">
        <f>COUNTIFS($D$2:$D$71, K21, $G$2:$G$71, J21)</f>
        <v>0</v>
      </c>
      <c r="M21" s="10">
        <f>L21/K11</f>
        <v>0</v>
      </c>
    </row>
    <row r="22" spans="1:13" x14ac:dyDescent="0.3">
      <c r="A22" s="1">
        <v>231</v>
      </c>
      <c r="B22" s="17" t="s">
        <v>337</v>
      </c>
      <c r="C22" s="13" t="str" cm="1">
        <f t="array" ref="C22">_xlfn.IFS(LEN(B22) &lt;= 25, "Short", AND(LEN(B22) &gt; 25, LEN(B22) &lt;= 50), "Medium", LEN(B22) &gt; 50, "Long")</f>
        <v>Medium</v>
      </c>
      <c r="D22" s="24" t="s">
        <v>79</v>
      </c>
      <c r="E22" s="24"/>
      <c r="F22" s="24"/>
      <c r="G22" s="1" t="s">
        <v>82</v>
      </c>
      <c r="H22" s="19" t="b">
        <f t="shared" si="0"/>
        <v>0</v>
      </c>
      <c r="J22" s="9" t="s">
        <v>245</v>
      </c>
      <c r="K22" s="9" t="s">
        <v>77</v>
      </c>
      <c r="L22" s="7">
        <f t="shared" ref="L22:L25" si="5">COUNTIFS($D$2:$D$71, K22, $G$2:$G$71, J22)</f>
        <v>0</v>
      </c>
      <c r="M22" s="10">
        <f>L22/K10</f>
        <v>0</v>
      </c>
    </row>
    <row r="23" spans="1:13" x14ac:dyDescent="0.3">
      <c r="A23" s="1">
        <v>232</v>
      </c>
      <c r="B23" s="17" t="s">
        <v>400</v>
      </c>
      <c r="C23" s="13" t="str" cm="1">
        <f t="array" ref="C23">_xlfn.IFS(LEN(B23) &lt;= 25, "Short", AND(LEN(B23) &gt; 25, LEN(B23) &lt;= 50), "Medium", LEN(B23) &gt; 50, "Long")</f>
        <v>Medium</v>
      </c>
      <c r="D23" s="24" t="s">
        <v>79</v>
      </c>
      <c r="E23" s="24"/>
      <c r="F23" s="24"/>
      <c r="G23" s="1" t="s">
        <v>80</v>
      </c>
      <c r="H23" s="19" t="b">
        <f t="shared" si="0"/>
        <v>0</v>
      </c>
      <c r="J23" s="9" t="s">
        <v>77</v>
      </c>
      <c r="K23" s="9" t="s">
        <v>80</v>
      </c>
      <c r="L23" s="7">
        <f t="shared" si="5"/>
        <v>1</v>
      </c>
      <c r="M23" s="10">
        <f>L23/K9</f>
        <v>3.3333333333333333E-2</v>
      </c>
    </row>
    <row r="24" spans="1:13" x14ac:dyDescent="0.3">
      <c r="A24" s="1">
        <v>233</v>
      </c>
      <c r="B24" s="17" t="s">
        <v>368</v>
      </c>
      <c r="C24" s="13" t="str" cm="1">
        <f t="array" ref="C24">_xlfn.IFS(LEN(B24) &lt;= 25, "Short", AND(LEN(B24) &gt; 25, LEN(B24) &lt;= 50), "Medium", LEN(B24) &gt; 50, "Long")</f>
        <v>Short</v>
      </c>
      <c r="D24" s="24" t="s">
        <v>79</v>
      </c>
      <c r="E24" s="24"/>
      <c r="F24" s="24"/>
      <c r="G24" s="1" t="s">
        <v>79</v>
      </c>
      <c r="H24" s="19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234</v>
      </c>
      <c r="B25" s="17" t="s">
        <v>401</v>
      </c>
      <c r="C25" s="13" t="str" cm="1">
        <f t="array" ref="C25">_xlfn.IFS(LEN(B25) &lt;= 25, "Short", AND(LEN(B25) &gt; 25, LEN(B25) &lt;= 50), "Medium", LEN(B25) &gt; 50, "Long")</f>
        <v>Medium</v>
      </c>
      <c r="D25" s="24" t="s">
        <v>77</v>
      </c>
      <c r="E25" s="24"/>
      <c r="F25" s="24"/>
      <c r="G25" s="1" t="s">
        <v>77</v>
      </c>
      <c r="H25" s="19" t="b">
        <f t="shared" si="0"/>
        <v>1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24" t="s">
        <v>252</v>
      </c>
      <c r="E26" s="24"/>
      <c r="F26" s="24"/>
      <c r="G26" s="1" t="s">
        <v>252</v>
      </c>
      <c r="H26" s="19" t="b">
        <f t="shared" si="0"/>
        <v>1</v>
      </c>
      <c r="J26" s="9" t="s">
        <v>81</v>
      </c>
      <c r="K26" s="9" t="s">
        <v>252</v>
      </c>
      <c r="L26" s="7">
        <f t="shared" ref="L26:L32" si="6">COUNTIFS($D$2:$D$71, K26, $G$2:$G$71, J26)</f>
        <v>0</v>
      </c>
      <c r="M26" s="10">
        <f>L26/K7</f>
        <v>0</v>
      </c>
    </row>
    <row r="27" spans="1:13" x14ac:dyDescent="0.3">
      <c r="A27" s="1">
        <v>236</v>
      </c>
      <c r="B27" s="17" t="s">
        <v>402</v>
      </c>
      <c r="C27" s="13" t="str" cm="1">
        <f t="array" ref="C27">_xlfn.IFS(LEN(B27) &lt;= 25, "Short", AND(LEN(B27) &gt; 25, LEN(B27) &lt;= 50), "Medium", LEN(B27) &gt; 50, "Long")</f>
        <v>Long</v>
      </c>
      <c r="D27" s="24" t="s">
        <v>252</v>
      </c>
      <c r="E27" s="24"/>
      <c r="F27" s="24"/>
      <c r="G27" s="1" t="s">
        <v>252</v>
      </c>
      <c r="H27" s="19" t="b">
        <f t="shared" si="0"/>
        <v>1</v>
      </c>
      <c r="J27" s="7" t="s">
        <v>80</v>
      </c>
      <c r="K27" s="7" t="s">
        <v>245</v>
      </c>
      <c r="L27" s="7">
        <f t="shared" si="6"/>
        <v>0</v>
      </c>
      <c r="M27" s="10">
        <f>L27/K11</f>
        <v>0</v>
      </c>
    </row>
    <row r="28" spans="1:13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24" t="s">
        <v>81</v>
      </c>
      <c r="E28" s="24"/>
      <c r="F28" s="24"/>
      <c r="G28" s="1" t="s">
        <v>81</v>
      </c>
      <c r="H28" s="19" t="b">
        <f t="shared" si="0"/>
        <v>1</v>
      </c>
      <c r="J28" s="7" t="s">
        <v>245</v>
      </c>
      <c r="K28" s="7" t="s">
        <v>80</v>
      </c>
      <c r="L28" s="7">
        <f t="shared" si="6"/>
        <v>0</v>
      </c>
      <c r="M28" s="10">
        <f>L28/K10</f>
        <v>0</v>
      </c>
    </row>
    <row r="29" spans="1:13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24" t="s">
        <v>76</v>
      </c>
      <c r="E29" s="24"/>
      <c r="F29" s="24"/>
      <c r="G29" s="1" t="s">
        <v>76</v>
      </c>
      <c r="H29" s="19" t="b">
        <f t="shared" si="0"/>
        <v>1</v>
      </c>
      <c r="J29" s="7" t="s">
        <v>76</v>
      </c>
      <c r="K29" s="7" t="s">
        <v>245</v>
      </c>
      <c r="L29" s="7">
        <f t="shared" si="6"/>
        <v>0</v>
      </c>
      <c r="M29" s="10">
        <f>L29/K12</f>
        <v>0</v>
      </c>
    </row>
    <row r="30" spans="1:13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24" t="s">
        <v>76</v>
      </c>
      <c r="E30" s="24"/>
      <c r="F30" s="24"/>
      <c r="G30" s="1" t="s">
        <v>76</v>
      </c>
      <c r="H30" s="19" t="b">
        <f t="shared" si="0"/>
        <v>1</v>
      </c>
      <c r="J30" s="7" t="s">
        <v>245</v>
      </c>
      <c r="K30" s="7" t="s">
        <v>76</v>
      </c>
      <c r="L30" s="7">
        <f t="shared" si="6"/>
        <v>0</v>
      </c>
      <c r="M30" s="10">
        <f>L30/K10</f>
        <v>0</v>
      </c>
    </row>
    <row r="31" spans="1:13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24" t="s">
        <v>76</v>
      </c>
      <c r="E31" s="24"/>
      <c r="F31" s="24"/>
      <c r="G31" s="1" t="s">
        <v>76</v>
      </c>
      <c r="H31" s="19" t="b">
        <f t="shared" si="0"/>
        <v>1</v>
      </c>
      <c r="J31" s="7" t="s">
        <v>76</v>
      </c>
      <c r="K31" s="7" t="s">
        <v>80</v>
      </c>
      <c r="L31" s="7">
        <f t="shared" si="6"/>
        <v>0</v>
      </c>
      <c r="M31" s="10">
        <f>L31/K12</f>
        <v>0</v>
      </c>
    </row>
    <row r="32" spans="1:13" x14ac:dyDescent="0.3">
      <c r="A32" s="1">
        <v>241</v>
      </c>
      <c r="B32" s="17" t="s">
        <v>403</v>
      </c>
      <c r="C32" s="13" t="str" cm="1">
        <f t="array" ref="C32">_xlfn.IFS(LEN(B32) &lt;= 25, "Short", AND(LEN(B32) &gt; 25, LEN(B32) &lt;= 50), "Medium", LEN(B32) &gt; 50, "Long")</f>
        <v>Short</v>
      </c>
      <c r="D32" s="24" t="s">
        <v>82</v>
      </c>
      <c r="E32" s="24"/>
      <c r="F32" s="24"/>
      <c r="G32" s="1" t="s">
        <v>81</v>
      </c>
      <c r="H32" s="19" t="b">
        <f t="shared" si="0"/>
        <v>0</v>
      </c>
      <c r="J32" s="7" t="s">
        <v>80</v>
      </c>
      <c r="K32" s="7" t="s">
        <v>76</v>
      </c>
      <c r="L32" s="7">
        <f t="shared" si="6"/>
        <v>0</v>
      </c>
      <c r="M32" s="10">
        <f>L32/K11</f>
        <v>0</v>
      </c>
    </row>
    <row r="33" spans="1:8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24" t="s">
        <v>79</v>
      </c>
      <c r="E33" s="24"/>
      <c r="F33" s="24"/>
      <c r="G33" s="1" t="s">
        <v>79</v>
      </c>
      <c r="H33" s="19" t="b">
        <f t="shared" si="0"/>
        <v>1</v>
      </c>
    </row>
    <row r="34" spans="1:8" x14ac:dyDescent="0.3">
      <c r="A34" s="1">
        <v>243</v>
      </c>
      <c r="B34" s="17" t="s">
        <v>404</v>
      </c>
      <c r="C34" s="13" t="str" cm="1">
        <f t="array" ref="C34">_xlfn.IFS(LEN(B34) &lt;= 25, "Short", AND(LEN(B34) &gt; 25, LEN(B34) &lt;= 50), "Medium", LEN(B34) &gt; 50, "Long")</f>
        <v>Medium</v>
      </c>
      <c r="D34" s="24" t="s">
        <v>82</v>
      </c>
      <c r="E34" s="24"/>
      <c r="F34" s="24"/>
      <c r="G34" s="1" t="s">
        <v>82</v>
      </c>
      <c r="H34" s="19" t="b">
        <f t="shared" si="0"/>
        <v>1</v>
      </c>
    </row>
    <row r="35" spans="1:8" x14ac:dyDescent="0.3">
      <c r="A35" s="1">
        <v>244</v>
      </c>
      <c r="B35" s="17" t="s">
        <v>405</v>
      </c>
      <c r="C35" s="13" t="str" cm="1">
        <f t="array" ref="C35">_xlfn.IFS(LEN(B35) &lt;= 25, "Short", AND(LEN(B35) &gt; 25, LEN(B35) &lt;= 50), "Medium", LEN(B35) &gt; 50, "Long")</f>
        <v>Medium</v>
      </c>
      <c r="D35" s="24" t="s">
        <v>79</v>
      </c>
      <c r="E35" s="24"/>
      <c r="F35" s="24"/>
      <c r="G35" s="1" t="s">
        <v>252</v>
      </c>
      <c r="H35" s="19" t="b">
        <f t="shared" si="0"/>
        <v>0</v>
      </c>
    </row>
    <row r="36" spans="1:8" x14ac:dyDescent="0.3">
      <c r="A36" s="1">
        <v>245</v>
      </c>
      <c r="B36" s="17" t="s">
        <v>406</v>
      </c>
      <c r="C36" s="13" t="str" cm="1">
        <f t="array" ref="C36">_xlfn.IFS(LEN(B36) &lt;= 25, "Short", AND(LEN(B36) &gt; 25, LEN(B36) &lt;= 50), "Medium", LEN(B36) &gt; 50, "Long")</f>
        <v>Short</v>
      </c>
      <c r="D36" s="24" t="s">
        <v>81</v>
      </c>
      <c r="E36" s="24"/>
      <c r="F36" s="24"/>
      <c r="G36" s="1" t="s">
        <v>81</v>
      </c>
      <c r="H36" s="19" t="b">
        <f t="shared" si="0"/>
        <v>1</v>
      </c>
    </row>
    <row r="37" spans="1:8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24" t="s">
        <v>81</v>
      </c>
      <c r="E37" s="24"/>
      <c r="F37" s="24"/>
      <c r="G37" s="1" t="s">
        <v>81</v>
      </c>
      <c r="H37" s="19" t="b">
        <f t="shared" si="0"/>
        <v>1</v>
      </c>
    </row>
    <row r="38" spans="1:8" x14ac:dyDescent="0.3">
      <c r="A38" s="1">
        <v>247</v>
      </c>
      <c r="B38" s="17" t="s">
        <v>407</v>
      </c>
      <c r="C38" s="13" t="str" cm="1">
        <f t="array" ref="C38">_xlfn.IFS(LEN(B38) &lt;= 25, "Short", AND(LEN(B38) &gt; 25, LEN(B38) &lt;= 50), "Medium", LEN(B38) &gt; 50, "Long")</f>
        <v>Medium</v>
      </c>
      <c r="D38" s="24" t="s">
        <v>79</v>
      </c>
      <c r="E38" s="24"/>
      <c r="F38" s="24"/>
      <c r="G38" s="1" t="s">
        <v>81</v>
      </c>
      <c r="H38" s="19" t="b">
        <f t="shared" si="0"/>
        <v>0</v>
      </c>
    </row>
    <row r="39" spans="1:8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24" t="s">
        <v>79</v>
      </c>
      <c r="E39" s="24"/>
      <c r="F39" s="24"/>
      <c r="G39" s="1" t="s">
        <v>80</v>
      </c>
      <c r="H39" s="19" t="b">
        <f t="shared" si="0"/>
        <v>0</v>
      </c>
    </row>
    <row r="40" spans="1:8" x14ac:dyDescent="0.3">
      <c r="A40" s="1">
        <v>249</v>
      </c>
      <c r="B40" s="17" t="s">
        <v>408</v>
      </c>
      <c r="C40" s="13" t="str" cm="1">
        <f t="array" ref="C40">_xlfn.IFS(LEN(B40) &lt;= 25, "Short", AND(LEN(B40) &gt; 25, LEN(B40) &lt;= 50), "Medium", LEN(B40) &gt; 50, "Long")</f>
        <v>Medium</v>
      </c>
      <c r="D40" s="24" t="s">
        <v>252</v>
      </c>
      <c r="E40" s="24"/>
      <c r="F40" s="24"/>
      <c r="G40" s="1" t="s">
        <v>252</v>
      </c>
      <c r="H40" s="19" t="b">
        <f t="shared" si="0"/>
        <v>1</v>
      </c>
    </row>
    <row r="41" spans="1:8" x14ac:dyDescent="0.3">
      <c r="A41" s="1">
        <v>250</v>
      </c>
      <c r="B41" s="17" t="s">
        <v>409</v>
      </c>
      <c r="C41" s="13" t="str" cm="1">
        <f t="array" ref="C41">_xlfn.IFS(LEN(B41) &lt;= 25, "Short", AND(LEN(B41) &gt; 25, LEN(B41) &lt;= 50), "Medium", LEN(B41) &gt; 50, "Long")</f>
        <v>Long</v>
      </c>
      <c r="D41" s="24" t="s">
        <v>252</v>
      </c>
      <c r="E41" s="24"/>
      <c r="F41" s="24"/>
      <c r="G41" s="1" t="s">
        <v>252</v>
      </c>
      <c r="H41" s="19" t="b">
        <f t="shared" si="0"/>
        <v>1</v>
      </c>
    </row>
    <row r="42" spans="1:8" x14ac:dyDescent="0.3">
      <c r="A42" s="1">
        <v>251</v>
      </c>
      <c r="B42" s="17" t="s">
        <v>410</v>
      </c>
      <c r="C42" s="13" t="str" cm="1">
        <f t="array" ref="C42">_xlfn.IFS(LEN(B42) &lt;= 25, "Short", AND(LEN(B42) &gt; 25, LEN(B42) &lt;= 50), "Medium", LEN(B42) &gt; 50, "Long")</f>
        <v>Medium</v>
      </c>
      <c r="D42" s="24" t="s">
        <v>79</v>
      </c>
      <c r="E42" s="24"/>
      <c r="F42" s="24"/>
      <c r="G42" s="1" t="s">
        <v>79</v>
      </c>
      <c r="H42" s="19" t="b">
        <f t="shared" si="0"/>
        <v>1</v>
      </c>
    </row>
    <row r="43" spans="1:8" x14ac:dyDescent="0.3">
      <c r="A43" s="1">
        <v>252</v>
      </c>
      <c r="B43" s="17" t="s">
        <v>342</v>
      </c>
      <c r="C43" s="13" t="str" cm="1">
        <f t="array" ref="C43">_xlfn.IFS(LEN(B43) &lt;= 25, "Short", AND(LEN(B43) &gt; 25, LEN(B43) &lt;= 50), "Medium", LEN(B43) &gt; 50, "Long")</f>
        <v>Long</v>
      </c>
      <c r="D43" s="24" t="s">
        <v>79</v>
      </c>
      <c r="E43" s="24" t="s">
        <v>82</v>
      </c>
      <c r="F43" s="24"/>
      <c r="G43" s="1" t="s">
        <v>82</v>
      </c>
      <c r="H43" s="19" t="b">
        <f t="shared" si="0"/>
        <v>1</v>
      </c>
    </row>
    <row r="44" spans="1:8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24" t="s">
        <v>252</v>
      </c>
      <c r="E44" s="24"/>
      <c r="F44" s="24"/>
      <c r="G44" s="1" t="s">
        <v>252</v>
      </c>
      <c r="H44" s="19" t="b">
        <f t="shared" si="0"/>
        <v>1</v>
      </c>
    </row>
    <row r="45" spans="1:8" x14ac:dyDescent="0.3">
      <c r="A45" s="1">
        <v>254</v>
      </c>
      <c r="B45" s="17" t="s">
        <v>411</v>
      </c>
      <c r="C45" s="13" t="str" cm="1">
        <f t="array" ref="C45">_xlfn.IFS(LEN(B45) &lt;= 25, "Short", AND(LEN(B45) &gt; 25, LEN(B45) &lt;= 50), "Medium", LEN(B45) &gt; 50, "Long")</f>
        <v>Medium</v>
      </c>
      <c r="D45" s="24" t="s">
        <v>82</v>
      </c>
      <c r="E45" s="24"/>
      <c r="F45" s="24"/>
      <c r="G45" s="1" t="s">
        <v>252</v>
      </c>
      <c r="H45" s="19" t="b">
        <f t="shared" si="0"/>
        <v>0</v>
      </c>
    </row>
    <row r="46" spans="1:8" x14ac:dyDescent="0.3">
      <c r="A46" s="1">
        <v>255</v>
      </c>
      <c r="B46" s="17" t="s">
        <v>412</v>
      </c>
      <c r="C46" s="13" t="str" cm="1">
        <f t="array" ref="C46">_xlfn.IFS(LEN(B46) &lt;= 25, "Short", AND(LEN(B46) &gt; 25, LEN(B46) &lt;= 50), "Medium", LEN(B46) &gt; 50, "Long")</f>
        <v>Short</v>
      </c>
      <c r="D46" s="24" t="s">
        <v>77</v>
      </c>
      <c r="E46" s="24"/>
      <c r="F46" s="24"/>
      <c r="G46" s="1" t="s">
        <v>77</v>
      </c>
      <c r="H46" s="19" t="b">
        <f t="shared" si="0"/>
        <v>1</v>
      </c>
    </row>
    <row r="47" spans="1:8" x14ac:dyDescent="0.3">
      <c r="A47" s="1">
        <v>256</v>
      </c>
      <c r="B47" s="17" t="s">
        <v>413</v>
      </c>
      <c r="C47" s="13" t="str" cm="1">
        <f t="array" ref="C47">_xlfn.IFS(LEN(B47) &lt;= 25, "Short", AND(LEN(B47) &gt; 25, LEN(B47) &lt;= 50), "Medium", LEN(B47) &gt; 50, "Long")</f>
        <v>Medium</v>
      </c>
      <c r="D47" s="24" t="s">
        <v>79</v>
      </c>
      <c r="E47" s="24"/>
      <c r="F47" s="24"/>
      <c r="G47" s="1" t="s">
        <v>77</v>
      </c>
      <c r="H47" s="19" t="b">
        <f t="shared" si="0"/>
        <v>0</v>
      </c>
    </row>
    <row r="48" spans="1:8" x14ac:dyDescent="0.3">
      <c r="A48" s="1">
        <v>257</v>
      </c>
      <c r="B48" s="17" t="s">
        <v>414</v>
      </c>
      <c r="C48" s="13" t="str" cm="1">
        <f t="array" ref="C48">_xlfn.IFS(LEN(B48) &lt;= 25, "Short", AND(LEN(B48) &gt; 25, LEN(B48) &lt;= 50), "Medium", LEN(B48) &gt; 50, "Long")</f>
        <v>Short</v>
      </c>
      <c r="D48" s="24" t="s">
        <v>81</v>
      </c>
      <c r="E48" s="24"/>
      <c r="F48" s="24"/>
      <c r="G48" s="1" t="s">
        <v>81</v>
      </c>
      <c r="H48" s="19" t="b">
        <f t="shared" si="0"/>
        <v>1</v>
      </c>
    </row>
    <row r="49" spans="1:8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24" t="s">
        <v>76</v>
      </c>
      <c r="E49" s="24"/>
      <c r="F49" s="24"/>
      <c r="G49" s="1" t="s">
        <v>76</v>
      </c>
      <c r="H49" s="19" t="b">
        <f t="shared" si="0"/>
        <v>1</v>
      </c>
    </row>
    <row r="50" spans="1:8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24" t="s">
        <v>76</v>
      </c>
      <c r="E50" s="24"/>
      <c r="F50" s="24"/>
      <c r="G50" s="1" t="s">
        <v>76</v>
      </c>
      <c r="H50" s="19" t="b">
        <f t="shared" si="0"/>
        <v>1</v>
      </c>
    </row>
    <row r="51" spans="1:8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24" t="s">
        <v>79</v>
      </c>
      <c r="E51" s="24"/>
      <c r="F51" s="24"/>
      <c r="G51" s="1" t="s">
        <v>79</v>
      </c>
      <c r="H51" s="19" t="b">
        <f t="shared" si="0"/>
        <v>1</v>
      </c>
    </row>
    <row r="52" spans="1:8" x14ac:dyDescent="0.3">
      <c r="A52" s="1">
        <v>261</v>
      </c>
      <c r="B52" s="17" t="s">
        <v>415</v>
      </c>
      <c r="C52" s="13" t="str" cm="1">
        <f t="array" ref="C52">_xlfn.IFS(LEN(B52) &lt;= 25, "Short", AND(LEN(B52) &gt; 25, LEN(B52) &lt;= 50), "Medium", LEN(B52) &gt; 50, "Long")</f>
        <v>Medium</v>
      </c>
      <c r="D52" s="24" t="s">
        <v>80</v>
      </c>
      <c r="E52" s="24"/>
      <c r="F52" s="24"/>
      <c r="G52" s="1" t="s">
        <v>80</v>
      </c>
      <c r="H52" s="19" t="b">
        <f t="shared" si="0"/>
        <v>1</v>
      </c>
    </row>
    <row r="53" spans="1:8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24" t="s">
        <v>77</v>
      </c>
      <c r="E53" s="24"/>
      <c r="F53" s="24"/>
      <c r="G53" s="1" t="s">
        <v>77</v>
      </c>
      <c r="H53" s="19" t="b">
        <f t="shared" si="0"/>
        <v>1</v>
      </c>
    </row>
    <row r="54" spans="1:8" x14ac:dyDescent="0.3">
      <c r="A54" s="1">
        <v>263</v>
      </c>
      <c r="B54" s="17" t="s">
        <v>416</v>
      </c>
      <c r="C54" s="13" t="str" cm="1">
        <f t="array" ref="C54">_xlfn.IFS(LEN(B54) &lt;= 25, "Short", AND(LEN(B54) &gt; 25, LEN(B54) &lt;= 50), "Medium", LEN(B54) &gt; 50, "Long")</f>
        <v>Medium</v>
      </c>
      <c r="D54" s="24" t="s">
        <v>82</v>
      </c>
      <c r="E54" s="24"/>
      <c r="F54" s="24"/>
      <c r="G54" s="1" t="s">
        <v>82</v>
      </c>
      <c r="H54" s="19" t="b">
        <f t="shared" si="0"/>
        <v>1</v>
      </c>
    </row>
    <row r="55" spans="1:8" x14ac:dyDescent="0.3">
      <c r="A55" s="1">
        <v>264</v>
      </c>
      <c r="B55" s="17" t="s">
        <v>417</v>
      </c>
      <c r="C55" s="13" t="str" cm="1">
        <f t="array" ref="C55">_xlfn.IFS(LEN(B55) &lt;= 25, "Short", AND(LEN(B55) &gt; 25, LEN(B55) &lt;= 50), "Medium", LEN(B55) &gt; 50, "Long")</f>
        <v>Long</v>
      </c>
      <c r="D55" s="24" t="s">
        <v>80</v>
      </c>
      <c r="E55" s="24"/>
      <c r="F55" s="24"/>
      <c r="G55" s="1" t="s">
        <v>80</v>
      </c>
      <c r="H55" s="19" t="b">
        <f t="shared" si="0"/>
        <v>1</v>
      </c>
    </row>
    <row r="56" spans="1:8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24" t="s">
        <v>79</v>
      </c>
      <c r="E56" s="24"/>
      <c r="F56" s="24"/>
      <c r="G56" s="1" t="s">
        <v>79</v>
      </c>
      <c r="H56" s="19" t="b">
        <f t="shared" si="0"/>
        <v>1</v>
      </c>
    </row>
    <row r="57" spans="1:8" x14ac:dyDescent="0.3">
      <c r="A57" s="1">
        <v>266</v>
      </c>
      <c r="B57" s="17" t="s">
        <v>418</v>
      </c>
      <c r="C57" s="13" t="str" cm="1">
        <f t="array" ref="C57">_xlfn.IFS(LEN(B57) &lt;= 25, "Short", AND(LEN(B57) &gt; 25, LEN(B57) &lt;= 50), "Medium", LEN(B57) &gt; 50, "Long")</f>
        <v>Long</v>
      </c>
      <c r="D57" s="24" t="s">
        <v>81</v>
      </c>
      <c r="E57" s="24"/>
      <c r="F57" s="24"/>
      <c r="G57" s="1" t="s">
        <v>82</v>
      </c>
      <c r="H57" s="19" t="b">
        <f t="shared" si="0"/>
        <v>0</v>
      </c>
    </row>
    <row r="58" spans="1:8" x14ac:dyDescent="0.3">
      <c r="A58" s="1">
        <v>267</v>
      </c>
      <c r="B58" s="17" t="s">
        <v>419</v>
      </c>
      <c r="C58" s="13" t="str" cm="1">
        <f t="array" ref="C58">_xlfn.IFS(LEN(B58) &lt;= 25, "Short", AND(LEN(B58) &gt; 25, LEN(B58) &lt;= 50), "Medium", LEN(B58) &gt; 50, "Long")</f>
        <v>Long</v>
      </c>
      <c r="D58" s="24" t="s">
        <v>81</v>
      </c>
      <c r="E58" s="24"/>
      <c r="F58" s="24"/>
      <c r="G58" s="1" t="s">
        <v>81</v>
      </c>
      <c r="H58" s="19" t="b">
        <f t="shared" si="0"/>
        <v>1</v>
      </c>
    </row>
    <row r="59" spans="1:8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24" t="s">
        <v>76</v>
      </c>
      <c r="E59" s="24"/>
      <c r="F59" s="24"/>
      <c r="G59" s="1" t="s">
        <v>76</v>
      </c>
      <c r="H59" s="19" t="b">
        <f t="shared" si="0"/>
        <v>1</v>
      </c>
    </row>
    <row r="60" spans="1:8" x14ac:dyDescent="0.3">
      <c r="A60" s="1">
        <v>269</v>
      </c>
      <c r="B60" s="17" t="s">
        <v>420</v>
      </c>
      <c r="C60" s="13" t="str" cm="1">
        <f t="array" ref="C60">_xlfn.IFS(LEN(B60) &lt;= 25, "Short", AND(LEN(B60) &gt; 25, LEN(B60) &lt;= 50), "Medium", LEN(B60) &gt; 50, "Long")</f>
        <v>Medium</v>
      </c>
      <c r="D60" s="24" t="s">
        <v>82</v>
      </c>
      <c r="E60" s="24"/>
      <c r="F60" s="24"/>
      <c r="G60" s="1" t="s">
        <v>82</v>
      </c>
      <c r="H60" s="19" t="b">
        <f t="shared" si="0"/>
        <v>1</v>
      </c>
    </row>
    <row r="61" spans="1:8" x14ac:dyDescent="0.3">
      <c r="A61" s="1">
        <v>270</v>
      </c>
      <c r="B61" s="17" t="s">
        <v>421</v>
      </c>
      <c r="C61" s="13" t="str" cm="1">
        <f t="array" ref="C61">_xlfn.IFS(LEN(B61) &lt;= 25, "Short", AND(LEN(B61) &gt; 25, LEN(B61) &lt;= 50), "Medium", LEN(B61) &gt; 50, "Long")</f>
        <v>Long</v>
      </c>
      <c r="D61" s="24" t="s">
        <v>81</v>
      </c>
      <c r="E61" s="24"/>
      <c r="F61" s="24"/>
      <c r="G61" s="1" t="s">
        <v>81</v>
      </c>
      <c r="H61" s="19" t="b">
        <f t="shared" si="0"/>
        <v>1</v>
      </c>
    </row>
    <row r="62" spans="1:8" x14ac:dyDescent="0.3">
      <c r="A62" s="1">
        <v>271</v>
      </c>
      <c r="B62" s="17" t="s">
        <v>388</v>
      </c>
      <c r="C62" s="13" t="str" cm="1">
        <f t="array" ref="C62">_xlfn.IFS(LEN(B62) &lt;= 25, "Short", AND(LEN(B62) &gt; 25, LEN(B62) &lt;= 50), "Medium", LEN(B62) &gt; 50, "Long")</f>
        <v>Short</v>
      </c>
      <c r="D62" s="24" t="s">
        <v>82</v>
      </c>
      <c r="E62" s="24"/>
      <c r="F62" s="24"/>
      <c r="G62" s="1" t="s">
        <v>81</v>
      </c>
      <c r="H62" s="19" t="b">
        <f t="shared" si="0"/>
        <v>0</v>
      </c>
    </row>
    <row r="63" spans="1:8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24" t="s">
        <v>79</v>
      </c>
      <c r="E63" s="24"/>
      <c r="F63" s="24"/>
      <c r="G63" s="1" t="s">
        <v>80</v>
      </c>
      <c r="H63" s="19" t="b">
        <f t="shared" si="0"/>
        <v>0</v>
      </c>
    </row>
    <row r="64" spans="1:8" x14ac:dyDescent="0.3">
      <c r="A64" s="1">
        <v>273</v>
      </c>
      <c r="B64" s="17" t="s">
        <v>422</v>
      </c>
      <c r="C64" s="13" t="str" cm="1">
        <f t="array" ref="C64">_xlfn.IFS(LEN(B64) &lt;= 25, "Short", AND(LEN(B64) &gt; 25, LEN(B64) &lt;= 50), "Medium", LEN(B64) &gt; 50, "Long")</f>
        <v>Short</v>
      </c>
      <c r="D64" s="24" t="s">
        <v>80</v>
      </c>
      <c r="E64" s="24"/>
      <c r="F64" s="24"/>
      <c r="G64" s="1" t="s">
        <v>77</v>
      </c>
      <c r="H64" s="19" t="b">
        <f t="shared" si="0"/>
        <v>0</v>
      </c>
    </row>
    <row r="65" spans="1:8" x14ac:dyDescent="0.3">
      <c r="A65" s="1">
        <v>274</v>
      </c>
      <c r="B65" s="17" t="s">
        <v>423</v>
      </c>
      <c r="C65" s="13" t="str" cm="1">
        <f t="array" ref="C65">_xlfn.IFS(LEN(B65) &lt;= 25, "Short", AND(LEN(B65) &gt; 25, LEN(B65) &lt;= 50), "Medium", LEN(B65) &gt; 50, "Long")</f>
        <v>Short</v>
      </c>
      <c r="D65" s="24" t="s">
        <v>80</v>
      </c>
      <c r="E65" s="24"/>
      <c r="F65" s="24"/>
      <c r="G65" s="1" t="s">
        <v>80</v>
      </c>
      <c r="H65" s="19" t="b">
        <f t="shared" si="0"/>
        <v>1</v>
      </c>
    </row>
    <row r="66" spans="1:8" x14ac:dyDescent="0.3">
      <c r="A66" s="1">
        <v>275</v>
      </c>
      <c r="B66" s="17" t="s">
        <v>424</v>
      </c>
      <c r="C66" s="13" t="str" cm="1">
        <f t="array" ref="C66">_xlfn.IFS(LEN(B66) &lt;= 25, "Short", AND(LEN(B66) &gt; 25, LEN(B66) &lt;= 50), "Medium", LEN(B66) &gt; 50, "Long")</f>
        <v>Short</v>
      </c>
      <c r="D66" s="24" t="s">
        <v>79</v>
      </c>
      <c r="E66" s="24"/>
      <c r="F66" s="24"/>
      <c r="G66" s="1" t="s">
        <v>77</v>
      </c>
      <c r="H66" s="19" t="b">
        <f t="shared" si="0"/>
        <v>0</v>
      </c>
    </row>
    <row r="67" spans="1:8" x14ac:dyDescent="0.3">
      <c r="A67" s="1">
        <v>276</v>
      </c>
      <c r="B67" s="17" t="s">
        <v>425</v>
      </c>
      <c r="C67" s="13" t="str" cm="1">
        <f t="array" ref="C67">_xlfn.IFS(LEN(B67) &lt;= 25, "Short", AND(LEN(B67) &gt; 25, LEN(B67) &lt;= 50), "Medium", LEN(B67) &gt; 50, "Long")</f>
        <v>Medium</v>
      </c>
      <c r="D67" s="24" t="s">
        <v>77</v>
      </c>
      <c r="E67" s="24"/>
      <c r="F67" s="24"/>
      <c r="G67" s="1" t="s">
        <v>77</v>
      </c>
      <c r="H67" s="19" t="b">
        <f t="shared" ref="H67:H130" si="7">IF(OR(D67=G67, E67=G67, F67=G67), TRUE, FALSE)</f>
        <v>1</v>
      </c>
    </row>
    <row r="68" spans="1:8" x14ac:dyDescent="0.3">
      <c r="A68" s="1">
        <v>277</v>
      </c>
      <c r="B68" s="17" t="s">
        <v>426</v>
      </c>
      <c r="C68" s="13" t="str" cm="1">
        <f t="array" ref="C68">_xlfn.IFS(LEN(B68) &lt;= 25, "Short", AND(LEN(B68) &gt; 25, LEN(B68) &lt;= 50), "Medium", LEN(B68) &gt; 50, "Long")</f>
        <v>Short</v>
      </c>
      <c r="D68" s="24" t="s">
        <v>82</v>
      </c>
      <c r="E68" s="24"/>
      <c r="F68" s="24"/>
      <c r="G68" s="1" t="s">
        <v>81</v>
      </c>
      <c r="H68" s="19" t="b">
        <f t="shared" si="7"/>
        <v>0</v>
      </c>
    </row>
    <row r="69" spans="1:8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24" t="s">
        <v>81</v>
      </c>
      <c r="E69" s="24"/>
      <c r="F69" s="24"/>
      <c r="G69" s="1" t="s">
        <v>81</v>
      </c>
      <c r="H69" s="19" t="b">
        <f t="shared" si="7"/>
        <v>1</v>
      </c>
    </row>
    <row r="70" spans="1:8" x14ac:dyDescent="0.3">
      <c r="A70" s="1">
        <v>279</v>
      </c>
      <c r="B70" s="17" t="s">
        <v>427</v>
      </c>
      <c r="C70" s="13" t="str" cm="1">
        <f t="array" ref="C70">_xlfn.IFS(LEN(B70) &lt;= 25, "Short", AND(LEN(B70) &gt; 25, LEN(B70) &lt;= 50), "Medium", LEN(B70) &gt; 50, "Long")</f>
        <v>Medium</v>
      </c>
      <c r="D70" s="24" t="s">
        <v>252</v>
      </c>
      <c r="E70" s="24"/>
      <c r="F70" s="24"/>
      <c r="G70" s="1" t="s">
        <v>252</v>
      </c>
      <c r="H70" s="19" t="b">
        <f t="shared" si="7"/>
        <v>1</v>
      </c>
    </row>
    <row r="71" spans="1:8" x14ac:dyDescent="0.3">
      <c r="A71" s="1">
        <v>280</v>
      </c>
      <c r="B71" s="17" t="s">
        <v>428</v>
      </c>
      <c r="C71" s="13" t="str" cm="1">
        <f t="array" ref="C71">_xlfn.IFS(LEN(B71) &lt;= 25, "Short", AND(LEN(B71) &gt; 25, LEN(B71) &lt;= 50), "Medium", LEN(B71) &gt; 50, "Long")</f>
        <v>Medium</v>
      </c>
      <c r="D71" s="24" t="s">
        <v>77</v>
      </c>
      <c r="E71" s="24"/>
      <c r="F71" s="24"/>
      <c r="G71" s="1" t="s">
        <v>77</v>
      </c>
      <c r="H71" s="19" t="b">
        <f t="shared" si="7"/>
        <v>1</v>
      </c>
    </row>
    <row r="72" spans="1:8" x14ac:dyDescent="0.3">
      <c r="A72" s="1">
        <v>281</v>
      </c>
      <c r="B72" s="17" t="s">
        <v>429</v>
      </c>
      <c r="C72" s="13" t="str" cm="1">
        <f t="array" ref="C72">_xlfn.IFS(LEN(B72) &lt;= 25, "Short", AND(LEN(B72) &gt; 25, LEN(B72) &lt;= 50), "Medium", LEN(B72) &gt; 50, "Long")</f>
        <v>Medium</v>
      </c>
      <c r="D72" s="24" t="s">
        <v>82</v>
      </c>
      <c r="E72" s="24"/>
      <c r="F72" s="24"/>
      <c r="G72" s="1" t="s">
        <v>82</v>
      </c>
      <c r="H72" s="19" t="b">
        <f t="shared" si="7"/>
        <v>1</v>
      </c>
    </row>
    <row r="73" spans="1:8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24" t="s">
        <v>252</v>
      </c>
      <c r="E73" s="24"/>
      <c r="F73" s="24"/>
      <c r="G73" s="1" t="s">
        <v>252</v>
      </c>
      <c r="H73" s="19" t="b">
        <f t="shared" si="7"/>
        <v>1</v>
      </c>
    </row>
    <row r="74" spans="1:8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24" t="s">
        <v>79</v>
      </c>
      <c r="E74" s="24"/>
      <c r="F74" s="24"/>
      <c r="G74" s="1" t="s">
        <v>79</v>
      </c>
      <c r="H74" s="19" t="b">
        <f t="shared" si="7"/>
        <v>1</v>
      </c>
    </row>
    <row r="75" spans="1:8" x14ac:dyDescent="0.3">
      <c r="A75" s="1">
        <v>284</v>
      </c>
      <c r="B75" s="17" t="s">
        <v>430</v>
      </c>
      <c r="C75" s="13" t="str" cm="1">
        <f t="array" ref="C75">_xlfn.IFS(LEN(B75) &lt;= 25, "Short", AND(LEN(B75) &gt; 25, LEN(B75) &lt;= 50), "Medium", LEN(B75) &gt; 50, "Long")</f>
        <v>Short</v>
      </c>
      <c r="D75" s="24" t="s">
        <v>79</v>
      </c>
      <c r="E75" s="24"/>
      <c r="F75" s="24"/>
      <c r="G75" s="1" t="s">
        <v>79</v>
      </c>
      <c r="H75" s="19" t="b">
        <f t="shared" si="7"/>
        <v>1</v>
      </c>
    </row>
    <row r="76" spans="1:8" x14ac:dyDescent="0.3">
      <c r="A76" s="1">
        <v>285</v>
      </c>
      <c r="B76" s="17" t="s">
        <v>431</v>
      </c>
      <c r="C76" s="13" t="str" cm="1">
        <f t="array" ref="C76">_xlfn.IFS(LEN(B76) &lt;= 25, "Short", AND(LEN(B76) &gt; 25, LEN(B76) &lt;= 50), "Medium", LEN(B76) &gt; 50, "Long")</f>
        <v>Short</v>
      </c>
      <c r="D76" s="24" t="s">
        <v>82</v>
      </c>
      <c r="E76" s="24"/>
      <c r="F76" s="24"/>
      <c r="G76" s="1" t="s">
        <v>77</v>
      </c>
      <c r="H76" s="19" t="b">
        <f t="shared" si="7"/>
        <v>0</v>
      </c>
    </row>
    <row r="77" spans="1:8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24" t="s">
        <v>79</v>
      </c>
      <c r="E77" s="24"/>
      <c r="F77" s="24"/>
      <c r="G77" s="1" t="s">
        <v>79</v>
      </c>
      <c r="H77" s="19" t="b">
        <f t="shared" si="7"/>
        <v>1</v>
      </c>
    </row>
    <row r="78" spans="1:8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24" t="s">
        <v>252</v>
      </c>
      <c r="E78" s="24"/>
      <c r="F78" s="24"/>
      <c r="G78" s="1" t="s">
        <v>252</v>
      </c>
      <c r="H78" s="19" t="b">
        <f t="shared" si="7"/>
        <v>1</v>
      </c>
    </row>
    <row r="79" spans="1:8" x14ac:dyDescent="0.3">
      <c r="A79" s="1">
        <v>288</v>
      </c>
      <c r="B79" s="17" t="s">
        <v>432</v>
      </c>
      <c r="C79" s="13" t="str" cm="1">
        <f t="array" ref="C79">_xlfn.IFS(LEN(B79) &lt;= 25, "Short", AND(LEN(B79) &gt; 25, LEN(B79) &lt;= 50), "Medium", LEN(B79) &gt; 50, "Long")</f>
        <v>Short</v>
      </c>
      <c r="D79" s="24" t="s">
        <v>82</v>
      </c>
      <c r="E79" s="24"/>
      <c r="F79" s="24"/>
      <c r="G79" s="1" t="s">
        <v>82</v>
      </c>
      <c r="H79" s="19" t="b">
        <f t="shared" si="7"/>
        <v>1</v>
      </c>
    </row>
    <row r="80" spans="1:8" x14ac:dyDescent="0.3">
      <c r="A80" s="1">
        <v>289</v>
      </c>
      <c r="B80" s="17" t="s">
        <v>433</v>
      </c>
      <c r="C80" s="13" t="str" cm="1">
        <f t="array" ref="C80">_xlfn.IFS(LEN(B80) &lt;= 25, "Short", AND(LEN(B80) &gt; 25, LEN(B80) &lt;= 50), "Medium", LEN(B80) &gt; 50, "Long")</f>
        <v>Medium</v>
      </c>
      <c r="D80" s="24" t="s">
        <v>81</v>
      </c>
      <c r="E80" s="24"/>
      <c r="F80" s="24"/>
      <c r="G80" s="1" t="s">
        <v>81</v>
      </c>
      <c r="H80" s="19" t="b">
        <f t="shared" si="7"/>
        <v>1</v>
      </c>
    </row>
    <row r="81" spans="1:8" x14ac:dyDescent="0.3">
      <c r="A81" s="1">
        <v>290</v>
      </c>
      <c r="B81" s="17" t="s">
        <v>434</v>
      </c>
      <c r="C81" s="13" t="str" cm="1">
        <f t="array" ref="C81">_xlfn.IFS(LEN(B81) &lt;= 25, "Short", AND(LEN(B81) &gt; 25, LEN(B81) &lt;= 50), "Medium", LEN(B81) &gt; 50, "Long")</f>
        <v>Short</v>
      </c>
      <c r="D81" s="24" t="s">
        <v>80</v>
      </c>
      <c r="E81" s="24"/>
      <c r="F81" s="24"/>
      <c r="G81" s="1" t="s">
        <v>77</v>
      </c>
      <c r="H81" s="19" t="b">
        <f t="shared" si="7"/>
        <v>0</v>
      </c>
    </row>
    <row r="82" spans="1:8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24" t="s">
        <v>76</v>
      </c>
      <c r="E82" s="24"/>
      <c r="F82" s="24"/>
      <c r="G82" s="1" t="s">
        <v>76</v>
      </c>
      <c r="H82" s="19" t="b">
        <f t="shared" si="7"/>
        <v>1</v>
      </c>
    </row>
    <row r="83" spans="1:8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24" t="s">
        <v>76</v>
      </c>
      <c r="E83" s="24"/>
      <c r="F83" s="24"/>
      <c r="G83" s="1" t="s">
        <v>76</v>
      </c>
      <c r="H83" s="19" t="b">
        <f t="shared" si="7"/>
        <v>1</v>
      </c>
    </row>
    <row r="84" spans="1:8" x14ac:dyDescent="0.3">
      <c r="A84" s="1">
        <v>293</v>
      </c>
      <c r="B84" s="17" t="s">
        <v>435</v>
      </c>
      <c r="C84" s="13" t="str" cm="1">
        <f t="array" ref="C84">_xlfn.IFS(LEN(B84) &lt;= 25, "Short", AND(LEN(B84) &gt; 25, LEN(B84) &lt;= 50), "Medium", LEN(B84) &gt; 50, "Long")</f>
        <v>Medium</v>
      </c>
      <c r="D84" s="24" t="s">
        <v>81</v>
      </c>
      <c r="E84" s="24"/>
      <c r="F84" s="24"/>
      <c r="G84" s="1" t="s">
        <v>81</v>
      </c>
      <c r="H84" s="19" t="b">
        <f t="shared" si="7"/>
        <v>1</v>
      </c>
    </row>
    <row r="85" spans="1:8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24" t="s">
        <v>76</v>
      </c>
      <c r="E85" s="24"/>
      <c r="F85" s="24"/>
      <c r="G85" s="1" t="s">
        <v>76</v>
      </c>
      <c r="H85" s="19" t="b">
        <f t="shared" si="7"/>
        <v>1</v>
      </c>
    </row>
    <row r="86" spans="1:8" x14ac:dyDescent="0.3">
      <c r="A86" s="1">
        <v>295</v>
      </c>
      <c r="B86" s="17" t="s">
        <v>436</v>
      </c>
      <c r="C86" s="13" t="str" cm="1">
        <f t="array" ref="C86">_xlfn.IFS(LEN(B86) &lt;= 25, "Short", AND(LEN(B86) &gt; 25, LEN(B86) &lt;= 50), "Medium", LEN(B86) &gt; 50, "Long")</f>
        <v>Short</v>
      </c>
      <c r="D86" s="24" t="s">
        <v>79</v>
      </c>
      <c r="E86" s="24"/>
      <c r="F86" s="24"/>
      <c r="G86" s="1" t="s">
        <v>252</v>
      </c>
      <c r="H86" s="19" t="b">
        <f t="shared" si="7"/>
        <v>0</v>
      </c>
    </row>
    <row r="87" spans="1:8" x14ac:dyDescent="0.3">
      <c r="A87" s="1">
        <v>296</v>
      </c>
      <c r="B87" s="17" t="s">
        <v>437</v>
      </c>
      <c r="C87" s="13" t="str" cm="1">
        <f t="array" ref="C87">_xlfn.IFS(LEN(B87) &lt;= 25, "Short", AND(LEN(B87) &gt; 25, LEN(B87) &lt;= 50), "Medium", LEN(B87) &gt; 50, "Long")</f>
        <v>Short</v>
      </c>
      <c r="D87" s="24" t="s">
        <v>79</v>
      </c>
      <c r="E87" s="24"/>
      <c r="F87" s="24"/>
      <c r="G87" s="1" t="s">
        <v>79</v>
      </c>
      <c r="H87" s="19" t="b">
        <f t="shared" si="7"/>
        <v>1</v>
      </c>
    </row>
    <row r="88" spans="1:8" x14ac:dyDescent="0.3">
      <c r="A88" s="1">
        <v>297</v>
      </c>
      <c r="B88" s="17" t="s">
        <v>438</v>
      </c>
      <c r="C88" s="13" t="str" cm="1">
        <f t="array" ref="C88">_xlfn.IFS(LEN(B88) &lt;= 25, "Short", AND(LEN(B88) &gt; 25, LEN(B88) &lt;= 50), "Medium", LEN(B88) &gt; 50, "Long")</f>
        <v>Medium</v>
      </c>
      <c r="D88" s="24" t="s">
        <v>77</v>
      </c>
      <c r="E88" s="24"/>
      <c r="F88" s="24"/>
      <c r="G88" s="1" t="s">
        <v>82</v>
      </c>
      <c r="H88" s="19" t="b">
        <f t="shared" si="7"/>
        <v>0</v>
      </c>
    </row>
    <row r="89" spans="1:8" x14ac:dyDescent="0.3">
      <c r="A89" s="1">
        <v>298</v>
      </c>
      <c r="B89" s="17" t="s">
        <v>439</v>
      </c>
      <c r="C89" s="13" t="str" cm="1">
        <f t="array" ref="C89">_xlfn.IFS(LEN(B89) &lt;= 25, "Short", AND(LEN(B89) &gt; 25, LEN(B89) &lt;= 50), "Medium", LEN(B89) &gt; 50, "Long")</f>
        <v>Medium</v>
      </c>
      <c r="D89" s="24" t="s">
        <v>82</v>
      </c>
      <c r="E89" s="24"/>
      <c r="F89" s="24"/>
      <c r="G89" s="1" t="s">
        <v>82</v>
      </c>
      <c r="H89" s="19" t="b">
        <f t="shared" si="7"/>
        <v>1</v>
      </c>
    </row>
    <row r="90" spans="1:8" x14ac:dyDescent="0.3">
      <c r="A90" s="1">
        <v>299</v>
      </c>
      <c r="B90" s="17" t="s">
        <v>440</v>
      </c>
      <c r="C90" s="13" t="str" cm="1">
        <f t="array" ref="C90">_xlfn.IFS(LEN(B90) &lt;= 25, "Short", AND(LEN(B90) &gt; 25, LEN(B90) &lt;= 50), "Medium", LEN(B90) &gt; 50, "Long")</f>
        <v>Medium</v>
      </c>
      <c r="D90" s="24" t="s">
        <v>77</v>
      </c>
      <c r="E90" s="24"/>
      <c r="F90" s="24"/>
      <c r="G90" s="1" t="s">
        <v>77</v>
      </c>
      <c r="H90" s="19" t="b">
        <f t="shared" si="7"/>
        <v>1</v>
      </c>
    </row>
    <row r="91" spans="1:8" x14ac:dyDescent="0.3">
      <c r="A91" s="1">
        <v>300</v>
      </c>
      <c r="B91" s="17" t="s">
        <v>441</v>
      </c>
      <c r="C91" s="13" t="str" cm="1">
        <f t="array" ref="C91">_xlfn.IFS(LEN(B91) &lt;= 25, "Short", AND(LEN(B91) &gt; 25, LEN(B91) &lt;= 50), "Medium", LEN(B91) &gt; 50, "Long")</f>
        <v>Long</v>
      </c>
      <c r="D91" s="24" t="s">
        <v>76</v>
      </c>
      <c r="E91" s="24"/>
      <c r="F91" s="24"/>
      <c r="G91" s="1" t="s">
        <v>82</v>
      </c>
      <c r="H91" s="19" t="b">
        <f t="shared" si="7"/>
        <v>0</v>
      </c>
    </row>
    <row r="92" spans="1:8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24" t="s">
        <v>77</v>
      </c>
      <c r="E92" s="24"/>
      <c r="F92" s="24"/>
      <c r="G92" s="1" t="s">
        <v>82</v>
      </c>
      <c r="H92" s="19" t="b">
        <f t="shared" si="7"/>
        <v>0</v>
      </c>
    </row>
    <row r="93" spans="1:8" x14ac:dyDescent="0.3">
      <c r="A93" s="1">
        <v>302</v>
      </c>
      <c r="B93" s="17" t="s">
        <v>442</v>
      </c>
      <c r="C93" s="13" t="str" cm="1">
        <f t="array" ref="C93">_xlfn.IFS(LEN(B93) &lt;= 25, "Short", AND(LEN(B93) &gt; 25, LEN(B93) &lt;= 50), "Medium", LEN(B93) &gt; 50, "Long")</f>
        <v>Short</v>
      </c>
      <c r="D93" s="24" t="s">
        <v>82</v>
      </c>
      <c r="E93" s="24"/>
      <c r="F93" s="24"/>
      <c r="G93" s="1" t="s">
        <v>82</v>
      </c>
      <c r="H93" s="19" t="b">
        <f t="shared" si="7"/>
        <v>1</v>
      </c>
    </row>
    <row r="94" spans="1:8" x14ac:dyDescent="0.3">
      <c r="A94" s="1">
        <v>303</v>
      </c>
      <c r="B94" s="17" t="s">
        <v>443</v>
      </c>
      <c r="C94" s="13" t="str" cm="1">
        <f t="array" ref="C94">_xlfn.IFS(LEN(B94) &lt;= 25, "Short", AND(LEN(B94) &gt; 25, LEN(B94) &lt;= 50), "Medium", LEN(B94) &gt; 50, "Long")</f>
        <v>Medium</v>
      </c>
      <c r="D94" s="24" t="s">
        <v>252</v>
      </c>
      <c r="E94" s="24"/>
      <c r="F94" s="24"/>
      <c r="G94" s="1" t="s">
        <v>252</v>
      </c>
      <c r="H94" s="19" t="b">
        <f t="shared" si="7"/>
        <v>1</v>
      </c>
    </row>
    <row r="95" spans="1:8" x14ac:dyDescent="0.3">
      <c r="A95" s="1">
        <v>304</v>
      </c>
      <c r="B95" s="17" t="s">
        <v>307</v>
      </c>
      <c r="C95" s="13" t="str" cm="1">
        <f t="array" ref="C95">_xlfn.IFS(LEN(B95) &lt;= 25, "Short", AND(LEN(B95) &gt; 25, LEN(B95) &lt;= 50), "Medium", LEN(B95) &gt; 50, "Long")</f>
        <v>Short</v>
      </c>
      <c r="D95" s="24" t="s">
        <v>80</v>
      </c>
      <c r="E95" s="24"/>
      <c r="F95" s="24"/>
      <c r="G95" s="1" t="s">
        <v>80</v>
      </c>
      <c r="H95" s="19" t="b">
        <f t="shared" si="7"/>
        <v>1</v>
      </c>
    </row>
    <row r="96" spans="1:8" x14ac:dyDescent="0.3">
      <c r="A96" s="1">
        <v>305</v>
      </c>
      <c r="B96" s="17" t="s">
        <v>444</v>
      </c>
      <c r="C96" s="13" t="str" cm="1">
        <f t="array" ref="C96">_xlfn.IFS(LEN(B96) &lt;= 25, "Short", AND(LEN(B96) &gt; 25, LEN(B96) &lt;= 50), "Medium", LEN(B96) &gt; 50, "Long")</f>
        <v>Short</v>
      </c>
      <c r="D96" s="24" t="s">
        <v>79</v>
      </c>
      <c r="E96" s="24"/>
      <c r="F96" s="24"/>
      <c r="G96" s="1" t="s">
        <v>79</v>
      </c>
      <c r="H96" s="19" t="b">
        <f t="shared" si="7"/>
        <v>1</v>
      </c>
    </row>
    <row r="97" spans="1:8" x14ac:dyDescent="0.3">
      <c r="A97" s="1">
        <v>306</v>
      </c>
      <c r="B97" s="17" t="s">
        <v>315</v>
      </c>
      <c r="C97" s="13" t="str" cm="1">
        <f t="array" ref="C97">_xlfn.IFS(LEN(B97) &lt;= 25, "Short", AND(LEN(B97) &gt; 25, LEN(B97) &lt;= 50), "Medium", LEN(B97) &gt; 50, "Long")</f>
        <v>Short</v>
      </c>
      <c r="D97" s="24" t="s">
        <v>77</v>
      </c>
      <c r="E97" s="24"/>
      <c r="F97" s="24"/>
      <c r="G97" s="1" t="s">
        <v>77</v>
      </c>
      <c r="H97" s="19" t="b">
        <f t="shared" si="7"/>
        <v>1</v>
      </c>
    </row>
    <row r="98" spans="1:8" x14ac:dyDescent="0.3">
      <c r="A98" s="1">
        <v>307</v>
      </c>
      <c r="B98" s="17" t="s">
        <v>445</v>
      </c>
      <c r="C98" s="13" t="str" cm="1">
        <f t="array" ref="C98">_xlfn.IFS(LEN(B98) &lt;= 25, "Short", AND(LEN(B98) &gt; 25, LEN(B98) &lt;= 50), "Medium", LEN(B98) &gt; 50, "Long")</f>
        <v>Medium</v>
      </c>
      <c r="D98" s="24" t="s">
        <v>80</v>
      </c>
      <c r="E98" s="24"/>
      <c r="F98" s="24"/>
      <c r="G98" s="1" t="s">
        <v>80</v>
      </c>
      <c r="H98" s="19" t="b">
        <f t="shared" si="7"/>
        <v>1</v>
      </c>
    </row>
    <row r="99" spans="1:8" x14ac:dyDescent="0.3">
      <c r="A99" s="1">
        <v>308</v>
      </c>
      <c r="B99" s="17" t="s">
        <v>446</v>
      </c>
      <c r="C99" s="13" t="str" cm="1">
        <f t="array" ref="C99">_xlfn.IFS(LEN(B99) &lt;= 25, "Short", AND(LEN(B99) &gt; 25, LEN(B99) &lt;= 50), "Medium", LEN(B99) &gt; 50, "Long")</f>
        <v>Medium</v>
      </c>
      <c r="D99" s="24" t="s">
        <v>79</v>
      </c>
      <c r="E99" s="24"/>
      <c r="F99" s="24"/>
      <c r="G99" s="1" t="s">
        <v>252</v>
      </c>
      <c r="H99" s="19" t="b">
        <f t="shared" si="7"/>
        <v>0</v>
      </c>
    </row>
    <row r="100" spans="1:8" x14ac:dyDescent="0.3">
      <c r="A100" s="1">
        <v>309</v>
      </c>
      <c r="B100" s="17" t="s">
        <v>447</v>
      </c>
      <c r="C100" s="13" t="str" cm="1">
        <f t="array" ref="C100">_xlfn.IFS(LEN(B100) &lt;= 25, "Short", AND(LEN(B100) &gt; 25, LEN(B100) &lt;= 50), "Medium", LEN(B100) &gt; 50, "Long")</f>
        <v>Short</v>
      </c>
      <c r="D100" s="24" t="s">
        <v>79</v>
      </c>
      <c r="E100" s="24"/>
      <c r="F100" s="24"/>
      <c r="G100" s="1" t="s">
        <v>77</v>
      </c>
      <c r="H100" s="19" t="b">
        <f t="shared" si="7"/>
        <v>0</v>
      </c>
    </row>
    <row r="101" spans="1:8" x14ac:dyDescent="0.3">
      <c r="A101" s="1">
        <v>310</v>
      </c>
      <c r="B101" s="17" t="s">
        <v>448</v>
      </c>
      <c r="C101" s="13" t="str" cm="1">
        <f t="array" ref="C101">_xlfn.IFS(LEN(B101) &lt;= 25, "Short", AND(LEN(B101) &gt; 25, LEN(B101) &lt;= 50), "Medium", LEN(B101) &gt; 50, "Long")</f>
        <v>Short</v>
      </c>
      <c r="D101" s="24" t="s">
        <v>80</v>
      </c>
      <c r="E101" s="24"/>
      <c r="F101" s="24"/>
      <c r="G101" s="1" t="s">
        <v>80</v>
      </c>
      <c r="H101" s="19" t="b">
        <f t="shared" si="7"/>
        <v>1</v>
      </c>
    </row>
    <row r="102" spans="1:8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24" t="s">
        <v>79</v>
      </c>
      <c r="E102" s="24"/>
      <c r="F102" s="24"/>
      <c r="G102" s="1" t="s">
        <v>79</v>
      </c>
      <c r="H102" s="19" t="b">
        <f t="shared" si="7"/>
        <v>1</v>
      </c>
    </row>
    <row r="103" spans="1:8" x14ac:dyDescent="0.3">
      <c r="A103" s="1">
        <v>312</v>
      </c>
      <c r="B103" s="17" t="s">
        <v>449</v>
      </c>
      <c r="C103" s="13" t="str" cm="1">
        <f t="array" ref="C103">_xlfn.IFS(LEN(B103) &lt;= 25, "Short", AND(LEN(B103) &gt; 25, LEN(B103) &lt;= 50), "Medium", LEN(B103) &gt; 50, "Long")</f>
        <v>Short</v>
      </c>
      <c r="D103" s="24" t="s">
        <v>79</v>
      </c>
      <c r="E103" s="24"/>
      <c r="F103" s="24"/>
      <c r="G103" s="1" t="s">
        <v>252</v>
      </c>
      <c r="H103" s="19" t="b">
        <f t="shared" si="7"/>
        <v>0</v>
      </c>
    </row>
    <row r="104" spans="1:8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24" t="s">
        <v>77</v>
      </c>
      <c r="E104" s="24"/>
      <c r="F104" s="24"/>
      <c r="G104" s="1" t="s">
        <v>80</v>
      </c>
      <c r="H104" s="19" t="b">
        <f t="shared" si="7"/>
        <v>0</v>
      </c>
    </row>
    <row r="105" spans="1:8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24" t="s">
        <v>79</v>
      </c>
      <c r="E105" s="24"/>
      <c r="F105" s="24"/>
      <c r="G105" s="1" t="s">
        <v>80</v>
      </c>
      <c r="H105" s="19" t="b">
        <f t="shared" si="7"/>
        <v>0</v>
      </c>
    </row>
    <row r="106" spans="1:8" x14ac:dyDescent="0.3">
      <c r="A106" s="1">
        <v>315</v>
      </c>
      <c r="B106" s="17" t="s">
        <v>450</v>
      </c>
      <c r="C106" s="13" t="str" cm="1">
        <f t="array" ref="C106">_xlfn.IFS(LEN(B106) &lt;= 25, "Short", AND(LEN(B106) &gt; 25, LEN(B106) &lt;= 50), "Medium", LEN(B106) &gt; 50, "Long")</f>
        <v>Medium</v>
      </c>
      <c r="D106" s="24" t="s">
        <v>79</v>
      </c>
      <c r="E106" s="24"/>
      <c r="F106" s="24"/>
      <c r="G106" s="1" t="s">
        <v>79</v>
      </c>
      <c r="H106" s="19" t="b">
        <f t="shared" si="7"/>
        <v>1</v>
      </c>
    </row>
    <row r="107" spans="1:8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24" t="s">
        <v>79</v>
      </c>
      <c r="E107" s="24"/>
      <c r="F107" s="24"/>
      <c r="G107" s="1" t="s">
        <v>77</v>
      </c>
      <c r="H107" s="19" t="b">
        <f t="shared" si="7"/>
        <v>0</v>
      </c>
    </row>
    <row r="108" spans="1:8" x14ac:dyDescent="0.3">
      <c r="A108" s="1">
        <v>317</v>
      </c>
      <c r="B108" s="17" t="s">
        <v>280</v>
      </c>
      <c r="C108" s="13" t="str" cm="1">
        <f t="array" ref="C108">_xlfn.IFS(LEN(B108) &lt;= 25, "Short", AND(LEN(B108) &gt; 25, LEN(B108) &lt;= 50), "Medium", LEN(B108) &gt; 50, "Long")</f>
        <v>Medium</v>
      </c>
      <c r="D108" s="24" t="s">
        <v>77</v>
      </c>
      <c r="E108" s="24"/>
      <c r="F108" s="24"/>
      <c r="G108" s="1" t="s">
        <v>77</v>
      </c>
      <c r="H108" s="19" t="b">
        <f t="shared" si="7"/>
        <v>1</v>
      </c>
    </row>
    <row r="109" spans="1:8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24" t="s">
        <v>76</v>
      </c>
      <c r="E109" s="24"/>
      <c r="F109" s="24"/>
      <c r="G109" s="1" t="s">
        <v>80</v>
      </c>
      <c r="H109" s="19" t="b">
        <f t="shared" si="7"/>
        <v>0</v>
      </c>
    </row>
    <row r="110" spans="1:8" x14ac:dyDescent="0.3">
      <c r="A110" s="1">
        <v>319</v>
      </c>
      <c r="B110" s="17" t="s">
        <v>451</v>
      </c>
      <c r="C110" s="13" t="str" cm="1">
        <f t="array" ref="C110">_xlfn.IFS(LEN(B110) &lt;= 25, "Short", AND(LEN(B110) &gt; 25, LEN(B110) &lt;= 50), "Medium", LEN(B110) &gt; 50, "Long")</f>
        <v>Medium</v>
      </c>
      <c r="D110" s="24" t="s">
        <v>252</v>
      </c>
      <c r="E110" s="24"/>
      <c r="F110" s="24"/>
      <c r="G110" s="1" t="s">
        <v>252</v>
      </c>
      <c r="H110" s="19" t="b">
        <f t="shared" si="7"/>
        <v>1</v>
      </c>
    </row>
    <row r="111" spans="1:8" x14ac:dyDescent="0.3">
      <c r="A111" s="1">
        <v>320</v>
      </c>
      <c r="B111" s="17" t="s">
        <v>452</v>
      </c>
      <c r="C111" s="13" t="str" cm="1">
        <f t="array" ref="C111">_xlfn.IFS(LEN(B111) &lt;= 25, "Short", AND(LEN(B111) &gt; 25, LEN(B111) &lt;= 50), "Medium", LEN(B111) &gt; 50, "Long")</f>
        <v>Short</v>
      </c>
      <c r="D111" s="24" t="s">
        <v>82</v>
      </c>
      <c r="E111" s="24"/>
      <c r="F111" s="24"/>
      <c r="G111" s="1" t="s">
        <v>82</v>
      </c>
      <c r="H111" s="19" t="b">
        <f t="shared" si="7"/>
        <v>1</v>
      </c>
    </row>
    <row r="112" spans="1:8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24" t="s">
        <v>77</v>
      </c>
      <c r="E112" s="24"/>
      <c r="F112" s="24"/>
      <c r="G112" s="1" t="s">
        <v>77</v>
      </c>
      <c r="H112" s="19" t="b">
        <f t="shared" si="7"/>
        <v>1</v>
      </c>
    </row>
    <row r="113" spans="1:8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24" t="s">
        <v>81</v>
      </c>
      <c r="E113" s="24"/>
      <c r="F113" s="24"/>
      <c r="G113" s="1" t="s">
        <v>81</v>
      </c>
      <c r="H113" s="19" t="b">
        <f t="shared" si="7"/>
        <v>1</v>
      </c>
    </row>
    <row r="114" spans="1:8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24" t="s">
        <v>76</v>
      </c>
      <c r="E114" s="24"/>
      <c r="F114" s="24"/>
      <c r="G114" s="1" t="s">
        <v>76</v>
      </c>
      <c r="H114" s="19" t="b">
        <f t="shared" si="7"/>
        <v>1</v>
      </c>
    </row>
    <row r="115" spans="1:8" x14ac:dyDescent="0.3">
      <c r="A115" s="1">
        <v>324</v>
      </c>
      <c r="B115" s="17" t="s">
        <v>453</v>
      </c>
      <c r="C115" s="13" t="str" cm="1">
        <f t="array" ref="C115">_xlfn.IFS(LEN(B115) &lt;= 25, "Short", AND(LEN(B115) &gt; 25, LEN(B115) &lt;= 50), "Medium", LEN(B115) &gt; 50, "Long")</f>
        <v>Short</v>
      </c>
      <c r="D115" s="24" t="s">
        <v>79</v>
      </c>
      <c r="E115" s="24"/>
      <c r="F115" s="24"/>
      <c r="G115" s="1" t="s">
        <v>79</v>
      </c>
      <c r="H115" s="19" t="b">
        <f t="shared" si="7"/>
        <v>1</v>
      </c>
    </row>
    <row r="116" spans="1:8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24" t="s">
        <v>81</v>
      </c>
      <c r="E116" s="24"/>
      <c r="F116" s="24"/>
      <c r="G116" s="1" t="s">
        <v>252</v>
      </c>
      <c r="H116" s="19" t="b">
        <f t="shared" si="7"/>
        <v>0</v>
      </c>
    </row>
    <row r="117" spans="1:8" x14ac:dyDescent="0.3">
      <c r="A117" s="1">
        <v>326</v>
      </c>
      <c r="B117" s="17" t="s">
        <v>454</v>
      </c>
      <c r="C117" s="13" t="str" cm="1">
        <f t="array" ref="C117">_xlfn.IFS(LEN(B117) &lt;= 25, "Short", AND(LEN(B117) &gt; 25, LEN(B117) &lt;= 50), "Medium", LEN(B117) &gt; 50, "Long")</f>
        <v>Short</v>
      </c>
      <c r="D117" s="24" t="s">
        <v>77</v>
      </c>
      <c r="E117" s="24"/>
      <c r="F117" s="24"/>
      <c r="G117" s="1" t="s">
        <v>80</v>
      </c>
      <c r="H117" s="19" t="b">
        <f t="shared" si="7"/>
        <v>0</v>
      </c>
    </row>
    <row r="118" spans="1:8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24" t="s">
        <v>79</v>
      </c>
      <c r="E118" s="24"/>
      <c r="F118" s="24"/>
      <c r="G118" s="1" t="s">
        <v>77</v>
      </c>
      <c r="H118" s="19" t="b">
        <f t="shared" si="7"/>
        <v>0</v>
      </c>
    </row>
    <row r="119" spans="1:8" x14ac:dyDescent="0.3">
      <c r="A119" s="1">
        <v>328</v>
      </c>
      <c r="B119" s="17" t="s">
        <v>455</v>
      </c>
      <c r="C119" s="13" t="str" cm="1">
        <f t="array" ref="C119">_xlfn.IFS(LEN(B119) &lt;= 25, "Short", AND(LEN(B119) &gt; 25, LEN(B119) &lt;= 50), "Medium", LEN(B119) &gt; 50, "Long")</f>
        <v>Medium</v>
      </c>
      <c r="D119" s="24" t="s">
        <v>79</v>
      </c>
      <c r="E119" s="24"/>
      <c r="F119" s="24"/>
      <c r="G119" s="1" t="s">
        <v>82</v>
      </c>
      <c r="H119" s="19" t="b">
        <f t="shared" si="7"/>
        <v>0</v>
      </c>
    </row>
    <row r="120" spans="1:8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24" t="s">
        <v>79</v>
      </c>
      <c r="E120" s="24"/>
      <c r="F120" s="24"/>
      <c r="G120" s="1" t="s">
        <v>81</v>
      </c>
      <c r="H120" s="19" t="b">
        <f t="shared" si="7"/>
        <v>0</v>
      </c>
    </row>
    <row r="121" spans="1:8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24" t="s">
        <v>80</v>
      </c>
      <c r="E121" s="24"/>
      <c r="F121" s="24"/>
      <c r="G121" s="1" t="s">
        <v>80</v>
      </c>
      <c r="H121" s="19" t="b">
        <f t="shared" si="7"/>
        <v>1</v>
      </c>
    </row>
    <row r="122" spans="1:8" x14ac:dyDescent="0.3">
      <c r="A122" s="1">
        <v>331</v>
      </c>
      <c r="B122" s="17" t="s">
        <v>456</v>
      </c>
      <c r="C122" s="13" t="str" cm="1">
        <f t="array" ref="C122">_xlfn.IFS(LEN(B122) &lt;= 25, "Short", AND(LEN(B122) &gt; 25, LEN(B122) &lt;= 50), "Medium", LEN(B122) &gt; 50, "Long")</f>
        <v>Short</v>
      </c>
      <c r="D122" s="24" t="s">
        <v>79</v>
      </c>
      <c r="E122" s="24"/>
      <c r="F122" s="24"/>
      <c r="G122" s="1" t="s">
        <v>79</v>
      </c>
      <c r="H122" s="19" t="b">
        <f t="shared" si="7"/>
        <v>1</v>
      </c>
    </row>
    <row r="123" spans="1:8" x14ac:dyDescent="0.3">
      <c r="A123" s="1">
        <v>332</v>
      </c>
      <c r="B123" s="17" t="s">
        <v>457</v>
      </c>
      <c r="C123" s="13" t="str" cm="1">
        <f t="array" ref="C123">_xlfn.IFS(LEN(B123) &lt;= 25, "Short", AND(LEN(B123) &gt; 25, LEN(B123) &lt;= 50), "Medium", LEN(B123) &gt; 50, "Long")</f>
        <v>Short</v>
      </c>
      <c r="D123" s="24" t="s">
        <v>76</v>
      </c>
      <c r="E123" s="24"/>
      <c r="F123" s="24"/>
      <c r="G123" s="1" t="s">
        <v>76</v>
      </c>
      <c r="H123" s="19" t="b">
        <f t="shared" si="7"/>
        <v>1</v>
      </c>
    </row>
    <row r="124" spans="1:8" x14ac:dyDescent="0.3">
      <c r="A124" s="1">
        <v>333</v>
      </c>
      <c r="B124" s="17" t="s">
        <v>458</v>
      </c>
      <c r="C124" s="13" t="str" cm="1">
        <f t="array" ref="C124">_xlfn.IFS(LEN(B124) &lt;= 25, "Short", AND(LEN(B124) &gt; 25, LEN(B124) &lt;= 50), "Medium", LEN(B124) &gt; 50, "Long")</f>
        <v>Short</v>
      </c>
      <c r="D124" s="24" t="s">
        <v>79</v>
      </c>
      <c r="E124" s="24"/>
      <c r="F124" s="24"/>
      <c r="G124" s="1" t="s">
        <v>79</v>
      </c>
      <c r="H124" s="19" t="b">
        <f t="shared" si="7"/>
        <v>1</v>
      </c>
    </row>
    <row r="125" spans="1:8" x14ac:dyDescent="0.3">
      <c r="A125" s="1">
        <v>334</v>
      </c>
      <c r="B125" s="17" t="s">
        <v>459</v>
      </c>
      <c r="C125" s="13" t="str" cm="1">
        <f t="array" ref="C125">_xlfn.IFS(LEN(B125) &lt;= 25, "Short", AND(LEN(B125) &gt; 25, LEN(B125) &lt;= 50), "Medium", LEN(B125) &gt; 50, "Long")</f>
        <v>Short</v>
      </c>
      <c r="D125" s="24" t="s">
        <v>82</v>
      </c>
      <c r="E125" s="24"/>
      <c r="F125" s="24"/>
      <c r="G125" s="1" t="s">
        <v>82</v>
      </c>
      <c r="H125" s="19" t="b">
        <f t="shared" si="7"/>
        <v>1</v>
      </c>
    </row>
    <row r="126" spans="1:8" x14ac:dyDescent="0.3">
      <c r="A126" s="1">
        <v>335</v>
      </c>
      <c r="B126" s="17" t="s">
        <v>460</v>
      </c>
      <c r="C126" s="13" t="str" cm="1">
        <f t="array" ref="C126">_xlfn.IFS(LEN(B126) &lt;= 25, "Short", AND(LEN(B126) &gt; 25, LEN(B126) &lt;= 50), "Medium", LEN(B126) &gt; 50, "Long")</f>
        <v>Short</v>
      </c>
      <c r="D126" s="24" t="s">
        <v>82</v>
      </c>
      <c r="E126" s="24"/>
      <c r="F126" s="24"/>
      <c r="G126" s="1" t="s">
        <v>77</v>
      </c>
      <c r="H126" s="19" t="b">
        <f t="shared" si="7"/>
        <v>0</v>
      </c>
    </row>
    <row r="127" spans="1:8" x14ac:dyDescent="0.3">
      <c r="A127" s="1">
        <v>336</v>
      </c>
      <c r="B127" s="17" t="s">
        <v>461</v>
      </c>
      <c r="C127" s="13" t="str" cm="1">
        <f t="array" ref="C127">_xlfn.IFS(LEN(B127) &lt;= 25, "Short", AND(LEN(B127) &gt; 25, LEN(B127) &lt;= 50), "Medium", LEN(B127) &gt; 50, "Long")</f>
        <v>Medium</v>
      </c>
      <c r="D127" s="24" t="s">
        <v>80</v>
      </c>
      <c r="E127" s="24"/>
      <c r="F127" s="24"/>
      <c r="G127" s="1" t="s">
        <v>80</v>
      </c>
      <c r="H127" s="19" t="b">
        <f t="shared" si="7"/>
        <v>1</v>
      </c>
    </row>
    <row r="128" spans="1:8" x14ac:dyDescent="0.3">
      <c r="A128" s="1">
        <v>337</v>
      </c>
      <c r="B128" s="17" t="s">
        <v>462</v>
      </c>
      <c r="C128" s="13" t="str" cm="1">
        <f t="array" ref="C128">_xlfn.IFS(LEN(B128) &lt;= 25, "Short", AND(LEN(B128) &gt; 25, LEN(B128) &lt;= 50), "Medium", LEN(B128) &gt; 50, "Long")</f>
        <v>Medium</v>
      </c>
      <c r="D128" s="24" t="s">
        <v>79</v>
      </c>
      <c r="E128" s="24"/>
      <c r="F128" s="24"/>
      <c r="G128" s="1" t="s">
        <v>81</v>
      </c>
      <c r="H128" s="19" t="b">
        <f t="shared" si="7"/>
        <v>0</v>
      </c>
    </row>
    <row r="129" spans="1:8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24" t="s">
        <v>76</v>
      </c>
      <c r="E129" s="24"/>
      <c r="F129" s="24"/>
      <c r="G129" s="1" t="s">
        <v>76</v>
      </c>
      <c r="H129" s="19" t="b">
        <f t="shared" si="7"/>
        <v>1</v>
      </c>
    </row>
    <row r="130" spans="1:8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24" t="s">
        <v>79</v>
      </c>
      <c r="E130" s="24"/>
      <c r="F130" s="24"/>
      <c r="G130" s="1" t="s">
        <v>76</v>
      </c>
      <c r="H130" s="19" t="b">
        <f t="shared" si="7"/>
        <v>0</v>
      </c>
    </row>
    <row r="131" spans="1:8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24" t="s">
        <v>79</v>
      </c>
      <c r="E131" s="24"/>
      <c r="F131" s="24"/>
      <c r="G131" s="1" t="s">
        <v>79</v>
      </c>
      <c r="H131" s="19" t="b">
        <f t="shared" ref="H131:H194" si="8">IF(OR(D131=G131, E131=G131, F131=G131), TRUE, FALSE)</f>
        <v>1</v>
      </c>
    </row>
    <row r="132" spans="1:8" x14ac:dyDescent="0.3">
      <c r="A132" s="1">
        <v>341</v>
      </c>
      <c r="B132" s="17" t="s">
        <v>463</v>
      </c>
      <c r="C132" s="13" t="str" cm="1">
        <f t="array" ref="C132">_xlfn.IFS(LEN(B132) &lt;= 25, "Short", AND(LEN(B132) &gt; 25, LEN(B132) &lt;= 50), "Medium", LEN(B132) &gt; 50, "Long")</f>
        <v>Medium</v>
      </c>
      <c r="D132" s="24" t="s">
        <v>81</v>
      </c>
      <c r="E132" s="24"/>
      <c r="F132" s="24"/>
      <c r="G132" s="1" t="s">
        <v>81</v>
      </c>
      <c r="H132" s="19" t="b">
        <f t="shared" si="8"/>
        <v>1</v>
      </c>
    </row>
    <row r="133" spans="1:8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24" t="s">
        <v>80</v>
      </c>
      <c r="E133" s="24"/>
      <c r="F133" s="24"/>
      <c r="G133" s="1" t="s">
        <v>80</v>
      </c>
      <c r="H133" s="19" t="b">
        <f t="shared" si="8"/>
        <v>1</v>
      </c>
    </row>
    <row r="134" spans="1:8" x14ac:dyDescent="0.3">
      <c r="A134" s="1">
        <v>343</v>
      </c>
      <c r="B134" s="17" t="s">
        <v>464</v>
      </c>
      <c r="C134" s="13" t="str" cm="1">
        <f t="array" ref="C134">_xlfn.IFS(LEN(B134) &lt;= 25, "Short", AND(LEN(B134) &gt; 25, LEN(B134) &lt;= 50), "Medium", LEN(B134) &gt; 50, "Long")</f>
        <v>Short</v>
      </c>
      <c r="D134" s="24" t="s">
        <v>252</v>
      </c>
      <c r="E134" s="24"/>
      <c r="F134" s="24"/>
      <c r="G134" s="1" t="s">
        <v>252</v>
      </c>
      <c r="H134" s="19" t="b">
        <f t="shared" si="8"/>
        <v>1</v>
      </c>
    </row>
    <row r="135" spans="1:8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24" t="s">
        <v>76</v>
      </c>
      <c r="E135" s="24"/>
      <c r="F135" s="24"/>
      <c r="G135" s="1" t="s">
        <v>76</v>
      </c>
      <c r="H135" s="19" t="b">
        <f t="shared" si="8"/>
        <v>1</v>
      </c>
    </row>
    <row r="136" spans="1:8" x14ac:dyDescent="0.3">
      <c r="A136" s="1">
        <v>345</v>
      </c>
      <c r="B136" s="17" t="s">
        <v>465</v>
      </c>
      <c r="C136" s="13" t="str" cm="1">
        <f t="array" ref="C136">_xlfn.IFS(LEN(B136) &lt;= 25, "Short", AND(LEN(B136) &gt; 25, LEN(B136) &lt;= 50), "Medium", LEN(B136) &gt; 50, "Long")</f>
        <v>Medium</v>
      </c>
      <c r="D136" s="24" t="s">
        <v>252</v>
      </c>
      <c r="E136" s="24"/>
      <c r="F136" s="24"/>
      <c r="G136" s="1" t="s">
        <v>77</v>
      </c>
      <c r="H136" s="19" t="b">
        <f t="shared" si="8"/>
        <v>0</v>
      </c>
    </row>
    <row r="137" spans="1:8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24" t="s">
        <v>81</v>
      </c>
      <c r="E137" s="24"/>
      <c r="F137" s="24"/>
      <c r="G137" s="1" t="s">
        <v>81</v>
      </c>
      <c r="H137" s="19" t="b">
        <f t="shared" si="8"/>
        <v>1</v>
      </c>
    </row>
    <row r="138" spans="1:8" x14ac:dyDescent="0.3">
      <c r="A138" s="1">
        <v>347</v>
      </c>
      <c r="B138" s="17" t="s">
        <v>466</v>
      </c>
      <c r="C138" s="13" t="str" cm="1">
        <f t="array" ref="C138">_xlfn.IFS(LEN(B138) &lt;= 25, "Short", AND(LEN(B138) &gt; 25, LEN(B138) &lt;= 50), "Medium", LEN(B138) &gt; 50, "Long")</f>
        <v>Short</v>
      </c>
      <c r="D138" s="24" t="s">
        <v>77</v>
      </c>
      <c r="E138" s="24"/>
      <c r="F138" s="24"/>
      <c r="G138" s="1" t="s">
        <v>77</v>
      </c>
      <c r="H138" s="19" t="b">
        <f t="shared" si="8"/>
        <v>1</v>
      </c>
    </row>
    <row r="139" spans="1:8" x14ac:dyDescent="0.3">
      <c r="A139" s="1">
        <v>348</v>
      </c>
      <c r="B139" s="17" t="s">
        <v>467</v>
      </c>
      <c r="C139" s="13" t="str" cm="1">
        <f t="array" ref="C139">_xlfn.IFS(LEN(B139) &lt;= 25, "Short", AND(LEN(B139) &gt; 25, LEN(B139) &lt;= 50), "Medium", LEN(B139) &gt; 50, "Long")</f>
        <v>Short</v>
      </c>
      <c r="D139" s="24" t="s">
        <v>82</v>
      </c>
      <c r="E139" s="24"/>
      <c r="F139" s="24"/>
      <c r="G139" s="1" t="s">
        <v>77</v>
      </c>
      <c r="H139" s="19" t="b">
        <f t="shared" si="8"/>
        <v>0</v>
      </c>
    </row>
    <row r="140" spans="1:8" x14ac:dyDescent="0.3">
      <c r="A140" s="1">
        <v>349</v>
      </c>
      <c r="B140" s="17" t="s">
        <v>468</v>
      </c>
      <c r="C140" s="13" t="str" cm="1">
        <f t="array" ref="C140">_xlfn.IFS(LEN(B140) &lt;= 25, "Short", AND(LEN(B140) &gt; 25, LEN(B140) &lt;= 50), "Medium", LEN(B140) &gt; 50, "Long")</f>
        <v>Short</v>
      </c>
      <c r="D140" s="24" t="s">
        <v>80</v>
      </c>
      <c r="E140" s="24"/>
      <c r="F140" s="24"/>
      <c r="G140" s="1" t="s">
        <v>80</v>
      </c>
      <c r="H140" s="19" t="b">
        <f t="shared" si="8"/>
        <v>1</v>
      </c>
    </row>
    <row r="141" spans="1:8" x14ac:dyDescent="0.3">
      <c r="A141" s="1">
        <v>350</v>
      </c>
      <c r="B141" s="17" t="s">
        <v>469</v>
      </c>
      <c r="C141" s="13" t="str" cm="1">
        <f t="array" ref="C141">_xlfn.IFS(LEN(B141) &lt;= 25, "Short", AND(LEN(B141) &gt; 25, LEN(B141) &lt;= 50), "Medium", LEN(B141) &gt; 50, "Long")</f>
        <v>Short</v>
      </c>
      <c r="D141" s="24" t="s">
        <v>79</v>
      </c>
      <c r="E141" s="24"/>
      <c r="F141" s="24"/>
      <c r="G141" s="1" t="s">
        <v>79</v>
      </c>
      <c r="H141" s="19" t="b">
        <f t="shared" si="8"/>
        <v>1</v>
      </c>
    </row>
    <row r="142" spans="1:8" x14ac:dyDescent="0.3">
      <c r="A142" s="1">
        <v>351</v>
      </c>
      <c r="B142" s="17" t="s">
        <v>470</v>
      </c>
      <c r="C142" s="13" t="str" cm="1">
        <f t="array" ref="C142">_xlfn.IFS(LEN(B142) &lt;= 25, "Short", AND(LEN(B142) &gt; 25, LEN(B142) &lt;= 50), "Medium", LEN(B142) &gt; 50, "Long")</f>
        <v>Short</v>
      </c>
      <c r="D142" s="24" t="s">
        <v>79</v>
      </c>
      <c r="E142" s="24"/>
      <c r="F142" s="24"/>
      <c r="G142" s="1" t="s">
        <v>79</v>
      </c>
      <c r="H142" s="19" t="b">
        <f t="shared" si="8"/>
        <v>1</v>
      </c>
    </row>
    <row r="143" spans="1:8" x14ac:dyDescent="0.3">
      <c r="A143" s="1">
        <v>352</v>
      </c>
      <c r="B143" s="17" t="s">
        <v>471</v>
      </c>
      <c r="C143" s="13" t="str" cm="1">
        <f t="array" ref="C143">_xlfn.IFS(LEN(B143) &lt;= 25, "Short", AND(LEN(B143) &gt; 25, LEN(B143) &lt;= 50), "Medium", LEN(B143) &gt; 50, "Long")</f>
        <v>Short</v>
      </c>
      <c r="D143" s="24" t="s">
        <v>79</v>
      </c>
      <c r="E143" s="24"/>
      <c r="F143" s="24"/>
      <c r="G143" s="1" t="s">
        <v>77</v>
      </c>
      <c r="H143" s="19" t="b">
        <f t="shared" si="8"/>
        <v>0</v>
      </c>
    </row>
    <row r="144" spans="1:8" x14ac:dyDescent="0.3">
      <c r="A144" s="1">
        <v>353</v>
      </c>
      <c r="B144" s="17" t="s">
        <v>472</v>
      </c>
      <c r="C144" s="13" t="str" cm="1">
        <f t="array" ref="C144">_xlfn.IFS(LEN(B144) &lt;= 25, "Short", AND(LEN(B144) &gt; 25, LEN(B144) &lt;= 50), "Medium", LEN(B144) &gt; 50, "Long")</f>
        <v>Short</v>
      </c>
      <c r="D144" s="24" t="s">
        <v>79</v>
      </c>
      <c r="E144" s="24"/>
      <c r="F144" s="24"/>
      <c r="G144" s="1" t="s">
        <v>77</v>
      </c>
      <c r="H144" s="19" t="b">
        <f t="shared" si="8"/>
        <v>0</v>
      </c>
    </row>
    <row r="145" spans="1:8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24" t="s">
        <v>76</v>
      </c>
      <c r="E145" s="24"/>
      <c r="F145" s="24"/>
      <c r="G145" s="1" t="s">
        <v>76</v>
      </c>
      <c r="H145" s="19" t="b">
        <f t="shared" si="8"/>
        <v>1</v>
      </c>
    </row>
    <row r="146" spans="1:8" x14ac:dyDescent="0.3">
      <c r="A146" s="1">
        <v>355</v>
      </c>
      <c r="B146" s="17" t="s">
        <v>473</v>
      </c>
      <c r="C146" s="13" t="str" cm="1">
        <f t="array" ref="C146">_xlfn.IFS(LEN(B146) &lt;= 25, "Short", AND(LEN(B146) &gt; 25, LEN(B146) &lt;= 50), "Medium", LEN(B146) &gt; 50, "Long")</f>
        <v>Medium</v>
      </c>
      <c r="D146" s="24" t="s">
        <v>77</v>
      </c>
      <c r="E146" s="24"/>
      <c r="F146" s="24"/>
      <c r="G146" s="1" t="s">
        <v>80</v>
      </c>
      <c r="H146" s="19" t="b">
        <f t="shared" si="8"/>
        <v>0</v>
      </c>
    </row>
    <row r="147" spans="1:8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24" t="s">
        <v>76</v>
      </c>
      <c r="E147" s="24"/>
      <c r="F147" s="24"/>
      <c r="G147" s="1" t="s">
        <v>76</v>
      </c>
      <c r="H147" s="19" t="b">
        <f t="shared" si="8"/>
        <v>1</v>
      </c>
    </row>
    <row r="148" spans="1:8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24" t="s">
        <v>79</v>
      </c>
      <c r="E148" s="24"/>
      <c r="F148" s="24"/>
      <c r="G148" s="1" t="s">
        <v>79</v>
      </c>
      <c r="H148" s="19" t="b">
        <f t="shared" si="8"/>
        <v>1</v>
      </c>
    </row>
    <row r="149" spans="1:8" x14ac:dyDescent="0.3">
      <c r="A149" s="1">
        <v>358</v>
      </c>
      <c r="B149" s="17" t="s">
        <v>474</v>
      </c>
      <c r="C149" s="13" t="str" cm="1">
        <f t="array" ref="C149">_xlfn.IFS(LEN(B149) &lt;= 25, "Short", AND(LEN(B149) &gt; 25, LEN(B149) &lt;= 50), "Medium", LEN(B149) &gt; 50, "Long")</f>
        <v>Short</v>
      </c>
      <c r="D149" s="24" t="s">
        <v>79</v>
      </c>
      <c r="E149" s="24"/>
      <c r="F149" s="24"/>
      <c r="G149" s="1" t="s">
        <v>81</v>
      </c>
      <c r="H149" s="19" t="b">
        <f t="shared" si="8"/>
        <v>0</v>
      </c>
    </row>
    <row r="150" spans="1:8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24" t="s">
        <v>82</v>
      </c>
      <c r="E150" s="24"/>
      <c r="F150" s="24"/>
      <c r="G150" s="1" t="s">
        <v>82</v>
      </c>
      <c r="H150" s="19" t="b">
        <f t="shared" si="8"/>
        <v>1</v>
      </c>
    </row>
    <row r="151" spans="1:8" x14ac:dyDescent="0.3">
      <c r="A151" s="1">
        <v>360</v>
      </c>
      <c r="B151" s="17" t="s">
        <v>475</v>
      </c>
      <c r="C151" s="13" t="str" cm="1">
        <f t="array" ref="C151">_xlfn.IFS(LEN(B151) &lt;= 25, "Short", AND(LEN(B151) &gt; 25, LEN(B151) &lt;= 50), "Medium", LEN(B151) &gt; 50, "Long")</f>
        <v>Short</v>
      </c>
      <c r="D151" s="24" t="s">
        <v>80</v>
      </c>
      <c r="E151" s="24"/>
      <c r="F151" s="24"/>
      <c r="G151" s="1" t="s">
        <v>80</v>
      </c>
      <c r="H151" s="19" t="b">
        <f t="shared" si="8"/>
        <v>1</v>
      </c>
    </row>
    <row r="152" spans="1:8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24" t="s">
        <v>79</v>
      </c>
      <c r="E152" s="24"/>
      <c r="F152" s="24"/>
      <c r="G152" s="1" t="s">
        <v>81</v>
      </c>
      <c r="H152" s="19" t="b">
        <f t="shared" si="8"/>
        <v>0</v>
      </c>
    </row>
    <row r="153" spans="1:8" x14ac:dyDescent="0.3">
      <c r="A153" s="1">
        <v>362</v>
      </c>
      <c r="B153" s="17" t="s">
        <v>476</v>
      </c>
      <c r="C153" s="13" t="str" cm="1">
        <f t="array" ref="C153">_xlfn.IFS(LEN(B153) &lt;= 25, "Short", AND(LEN(B153) &gt; 25, LEN(B153) &lt;= 50), "Medium", LEN(B153) &gt; 50, "Long")</f>
        <v>Medium</v>
      </c>
      <c r="D153" s="24" t="s">
        <v>252</v>
      </c>
      <c r="E153" s="24"/>
      <c r="F153" s="24"/>
      <c r="G153" s="1" t="s">
        <v>77</v>
      </c>
      <c r="H153" s="19" t="b">
        <f t="shared" si="8"/>
        <v>0</v>
      </c>
    </row>
    <row r="154" spans="1:8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24" t="s">
        <v>76</v>
      </c>
      <c r="E154" s="24"/>
      <c r="F154" s="24"/>
      <c r="G154" s="1" t="s">
        <v>76</v>
      </c>
      <c r="H154" s="19" t="b">
        <f t="shared" si="8"/>
        <v>1</v>
      </c>
    </row>
    <row r="155" spans="1:8" x14ac:dyDescent="0.3">
      <c r="A155" s="1">
        <v>364</v>
      </c>
      <c r="B155" s="17" t="s">
        <v>477</v>
      </c>
      <c r="C155" s="13" t="str" cm="1">
        <f t="array" ref="C155">_xlfn.IFS(LEN(B155) &lt;= 25, "Short", AND(LEN(B155) &gt; 25, LEN(B155) &lt;= 50), "Medium", LEN(B155) &gt; 50, "Long")</f>
        <v>Medium</v>
      </c>
      <c r="D155" s="24" t="s">
        <v>79</v>
      </c>
      <c r="E155" s="24"/>
      <c r="F155" s="24"/>
      <c r="G155" s="1" t="s">
        <v>79</v>
      </c>
      <c r="H155" s="19" t="b">
        <f t="shared" si="8"/>
        <v>1</v>
      </c>
    </row>
    <row r="156" spans="1:8" x14ac:dyDescent="0.3">
      <c r="A156" s="1">
        <v>365</v>
      </c>
      <c r="B156" s="17" t="s">
        <v>478</v>
      </c>
      <c r="C156" s="13" t="str" cm="1">
        <f t="array" ref="C156">_xlfn.IFS(LEN(B156) &lt;= 25, "Short", AND(LEN(B156) &gt; 25, LEN(B156) &lt;= 50), "Medium", LEN(B156) &gt; 50, "Long")</f>
        <v>Long</v>
      </c>
      <c r="D156" s="24" t="s">
        <v>76</v>
      </c>
      <c r="E156" s="24"/>
      <c r="F156" s="24"/>
      <c r="G156" s="1" t="s">
        <v>80</v>
      </c>
      <c r="H156" s="19" t="b">
        <f t="shared" si="8"/>
        <v>0</v>
      </c>
    </row>
    <row r="157" spans="1:8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24" t="s">
        <v>79</v>
      </c>
      <c r="E157" s="24"/>
      <c r="F157" s="24"/>
      <c r="G157" s="1" t="s">
        <v>252</v>
      </c>
      <c r="H157" s="19" t="b">
        <f t="shared" si="8"/>
        <v>0</v>
      </c>
    </row>
    <row r="158" spans="1:8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24" t="s">
        <v>76</v>
      </c>
      <c r="E158" s="24"/>
      <c r="F158" s="24"/>
      <c r="G158" s="1" t="s">
        <v>76</v>
      </c>
      <c r="H158" s="19" t="b">
        <f t="shared" si="8"/>
        <v>1</v>
      </c>
    </row>
    <row r="159" spans="1:8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24" t="s">
        <v>80</v>
      </c>
      <c r="E159" s="24"/>
      <c r="F159" s="24"/>
      <c r="G159" s="1" t="s">
        <v>80</v>
      </c>
      <c r="H159" s="19" t="b">
        <f t="shared" si="8"/>
        <v>1</v>
      </c>
    </row>
    <row r="160" spans="1:8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24" t="s">
        <v>79</v>
      </c>
      <c r="E160" s="24"/>
      <c r="F160" s="24"/>
      <c r="G160" s="1" t="s">
        <v>79</v>
      </c>
      <c r="H160" s="19" t="b">
        <f t="shared" si="8"/>
        <v>1</v>
      </c>
    </row>
    <row r="161" spans="1:8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24" t="s">
        <v>77</v>
      </c>
      <c r="E161" s="24"/>
      <c r="F161" s="24"/>
      <c r="G161" s="1" t="s">
        <v>82</v>
      </c>
      <c r="H161" s="19" t="b">
        <f t="shared" si="8"/>
        <v>0</v>
      </c>
    </row>
    <row r="162" spans="1:8" x14ac:dyDescent="0.3">
      <c r="A162" s="1">
        <v>371</v>
      </c>
      <c r="B162" s="17" t="s">
        <v>479</v>
      </c>
      <c r="C162" s="13" t="str" cm="1">
        <f t="array" ref="C162">_xlfn.IFS(LEN(B162) &lt;= 25, "Short", AND(LEN(B162) &gt; 25, LEN(B162) &lt;= 50), "Medium", LEN(B162) &gt; 50, "Long")</f>
        <v>Short</v>
      </c>
      <c r="D162" s="24" t="s">
        <v>79</v>
      </c>
      <c r="E162" s="24"/>
      <c r="F162" s="24"/>
      <c r="G162" s="1" t="s">
        <v>82</v>
      </c>
      <c r="H162" s="19" t="b">
        <f t="shared" si="8"/>
        <v>0</v>
      </c>
    </row>
    <row r="163" spans="1:8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24" t="s">
        <v>79</v>
      </c>
      <c r="E163" s="24"/>
      <c r="F163" s="24"/>
      <c r="G163" s="1" t="s">
        <v>252</v>
      </c>
      <c r="H163" s="19" t="b">
        <f t="shared" si="8"/>
        <v>0</v>
      </c>
    </row>
    <row r="164" spans="1:8" x14ac:dyDescent="0.3">
      <c r="A164" s="1">
        <v>373</v>
      </c>
      <c r="B164" s="17" t="s">
        <v>480</v>
      </c>
      <c r="C164" s="13" t="str" cm="1">
        <f t="array" ref="C164">_xlfn.IFS(LEN(B164) &lt;= 25, "Short", AND(LEN(B164) &gt; 25, LEN(B164) &lt;= 50), "Medium", LEN(B164) &gt; 50, "Long")</f>
        <v>Medium</v>
      </c>
      <c r="D164" s="24" t="s">
        <v>79</v>
      </c>
      <c r="E164" s="24"/>
      <c r="F164" s="24"/>
      <c r="G164" s="1" t="s">
        <v>79</v>
      </c>
      <c r="H164" s="19" t="b">
        <f t="shared" si="8"/>
        <v>1</v>
      </c>
    </row>
    <row r="165" spans="1:8" x14ac:dyDescent="0.3">
      <c r="A165" s="1">
        <v>374</v>
      </c>
      <c r="B165" s="17" t="s">
        <v>330</v>
      </c>
      <c r="C165" s="13" t="str" cm="1">
        <f t="array" ref="C165">_xlfn.IFS(LEN(B165) &lt;= 25, "Short", AND(LEN(B165) &gt; 25, LEN(B165) &lt;= 50), "Medium", LEN(B165) &gt; 50, "Long")</f>
        <v>Short</v>
      </c>
      <c r="D165" s="24" t="s">
        <v>81</v>
      </c>
      <c r="E165" s="24"/>
      <c r="F165" s="24"/>
      <c r="G165" s="1" t="s">
        <v>81</v>
      </c>
      <c r="H165" s="19" t="b">
        <f t="shared" si="8"/>
        <v>1</v>
      </c>
    </row>
    <row r="166" spans="1:8" x14ac:dyDescent="0.3">
      <c r="A166" s="1">
        <v>375</v>
      </c>
      <c r="B166" s="17" t="s">
        <v>481</v>
      </c>
      <c r="C166" s="13" t="str" cm="1">
        <f t="array" ref="C166">_xlfn.IFS(LEN(B166) &lt;= 25, "Short", AND(LEN(B166) &gt; 25, LEN(B166) &lt;= 50), "Medium", LEN(B166) &gt; 50, "Long")</f>
        <v>Medium</v>
      </c>
      <c r="D166" s="24" t="s">
        <v>79</v>
      </c>
      <c r="E166" s="24"/>
      <c r="F166" s="24"/>
      <c r="G166" s="1" t="s">
        <v>82</v>
      </c>
      <c r="H166" s="19" t="b">
        <f t="shared" si="8"/>
        <v>0</v>
      </c>
    </row>
    <row r="167" spans="1:8" x14ac:dyDescent="0.3">
      <c r="A167" s="1">
        <v>376</v>
      </c>
      <c r="B167" s="17" t="s">
        <v>482</v>
      </c>
      <c r="C167" s="13" t="str" cm="1">
        <f t="array" ref="C167">_xlfn.IFS(LEN(B167) &lt;= 25, "Short", AND(LEN(B167) &gt; 25, LEN(B167) &lt;= 50), "Medium", LEN(B167) &gt; 50, "Long")</f>
        <v>Medium</v>
      </c>
      <c r="D167" s="24" t="s">
        <v>77</v>
      </c>
      <c r="E167" s="24"/>
      <c r="F167" s="24"/>
      <c r="G167" s="1" t="s">
        <v>77</v>
      </c>
      <c r="H167" s="19" t="b">
        <f t="shared" si="8"/>
        <v>1</v>
      </c>
    </row>
    <row r="168" spans="1:8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24" t="s">
        <v>76</v>
      </c>
      <c r="E168" s="24"/>
      <c r="F168" s="24"/>
      <c r="G168" s="1" t="s">
        <v>76</v>
      </c>
      <c r="H168" s="19" t="b">
        <f t="shared" si="8"/>
        <v>1</v>
      </c>
    </row>
    <row r="169" spans="1:8" x14ac:dyDescent="0.3">
      <c r="A169" s="1">
        <v>378</v>
      </c>
      <c r="B169" s="17" t="s">
        <v>483</v>
      </c>
      <c r="C169" s="13" t="str" cm="1">
        <f t="array" ref="C169">_xlfn.IFS(LEN(B169) &lt;= 25, "Short", AND(LEN(B169) &gt; 25, LEN(B169) &lt;= 50), "Medium", LEN(B169) &gt; 50, "Long")</f>
        <v>Short</v>
      </c>
      <c r="D169" s="24" t="s">
        <v>82</v>
      </c>
      <c r="E169" s="24"/>
      <c r="F169" s="24"/>
      <c r="G169" s="1" t="s">
        <v>82</v>
      </c>
      <c r="H169" s="19" t="b">
        <f t="shared" si="8"/>
        <v>1</v>
      </c>
    </row>
    <row r="170" spans="1:8" x14ac:dyDescent="0.3">
      <c r="A170" s="1">
        <v>379</v>
      </c>
      <c r="B170" s="17" t="s">
        <v>484</v>
      </c>
      <c r="C170" s="13" t="str" cm="1">
        <f t="array" ref="C170">_xlfn.IFS(LEN(B170) &lt;= 25, "Short", AND(LEN(B170) &gt; 25, LEN(B170) &lt;= 50), "Medium", LEN(B170) &gt; 50, "Long")</f>
        <v>Short</v>
      </c>
      <c r="D170" s="24" t="s">
        <v>79</v>
      </c>
      <c r="E170" s="24"/>
      <c r="F170" s="24"/>
      <c r="G170" s="1" t="s">
        <v>77</v>
      </c>
      <c r="H170" s="19" t="b">
        <f t="shared" si="8"/>
        <v>0</v>
      </c>
    </row>
    <row r="171" spans="1:8" x14ac:dyDescent="0.3">
      <c r="A171" s="1">
        <v>380</v>
      </c>
      <c r="B171" s="17" t="s">
        <v>485</v>
      </c>
      <c r="C171" s="13" t="str" cm="1">
        <f t="array" ref="C171">_xlfn.IFS(LEN(B171) &lt;= 25, "Short", AND(LEN(B171) &gt; 25, LEN(B171) &lt;= 50), "Medium", LEN(B171) &gt; 50, "Long")</f>
        <v>Short</v>
      </c>
      <c r="D171" s="24" t="s">
        <v>79</v>
      </c>
      <c r="E171" s="24"/>
      <c r="F171" s="24"/>
      <c r="G171" s="1" t="s">
        <v>82</v>
      </c>
      <c r="H171" s="19" t="b">
        <f t="shared" si="8"/>
        <v>0</v>
      </c>
    </row>
    <row r="172" spans="1:8" x14ac:dyDescent="0.3">
      <c r="A172" s="1">
        <v>381</v>
      </c>
      <c r="B172" s="17" t="s">
        <v>486</v>
      </c>
      <c r="C172" s="13" t="str" cm="1">
        <f t="array" ref="C172">_xlfn.IFS(LEN(B172) &lt;= 25, "Short", AND(LEN(B172) &gt; 25, LEN(B172) &lt;= 50), "Medium", LEN(B172) &gt; 50, "Long")</f>
        <v>Short</v>
      </c>
      <c r="D172" s="24" t="s">
        <v>77</v>
      </c>
      <c r="E172" s="24"/>
      <c r="F172" s="24"/>
      <c r="G172" s="1" t="s">
        <v>77</v>
      </c>
      <c r="H172" s="19" t="b">
        <f t="shared" si="8"/>
        <v>1</v>
      </c>
    </row>
    <row r="173" spans="1:8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24" t="s">
        <v>81</v>
      </c>
      <c r="E173" s="24"/>
      <c r="F173" s="24"/>
      <c r="G173" s="1" t="s">
        <v>81</v>
      </c>
      <c r="H173" s="19" t="b">
        <f t="shared" si="8"/>
        <v>1</v>
      </c>
    </row>
    <row r="174" spans="1:8" x14ac:dyDescent="0.3">
      <c r="A174" s="1">
        <v>383</v>
      </c>
      <c r="B174" s="17" t="s">
        <v>487</v>
      </c>
      <c r="C174" s="13" t="str" cm="1">
        <f t="array" ref="C174">_xlfn.IFS(LEN(B174) &lt;= 25, "Short", AND(LEN(B174) &gt; 25, LEN(B174) &lt;= 50), "Medium", LEN(B174) &gt; 50, "Long")</f>
        <v>Short</v>
      </c>
      <c r="D174" s="24" t="s">
        <v>82</v>
      </c>
      <c r="E174" s="24"/>
      <c r="F174" s="24"/>
      <c r="G174" s="1" t="s">
        <v>81</v>
      </c>
      <c r="H174" s="19" t="b">
        <f t="shared" si="8"/>
        <v>0</v>
      </c>
    </row>
    <row r="175" spans="1:8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24" t="s">
        <v>80</v>
      </c>
      <c r="E175" s="24"/>
      <c r="F175" s="24"/>
      <c r="G175" s="1" t="s">
        <v>80</v>
      </c>
      <c r="H175" s="19" t="b">
        <f t="shared" si="8"/>
        <v>1</v>
      </c>
    </row>
    <row r="176" spans="1:8" x14ac:dyDescent="0.3">
      <c r="A176" s="1">
        <v>385</v>
      </c>
      <c r="B176" s="17" t="s">
        <v>488</v>
      </c>
      <c r="C176" s="13" t="str" cm="1">
        <f t="array" ref="C176">_xlfn.IFS(LEN(B176) &lt;= 25, "Short", AND(LEN(B176) &gt; 25, LEN(B176) &lt;= 50), "Medium", LEN(B176) &gt; 50, "Long")</f>
        <v>Short</v>
      </c>
      <c r="D176" s="24" t="s">
        <v>77</v>
      </c>
      <c r="E176" s="24"/>
      <c r="F176" s="24"/>
      <c r="G176" s="1" t="s">
        <v>77</v>
      </c>
      <c r="H176" s="19" t="b">
        <f t="shared" si="8"/>
        <v>1</v>
      </c>
    </row>
    <row r="177" spans="1:8" x14ac:dyDescent="0.3">
      <c r="A177" s="1">
        <v>386</v>
      </c>
      <c r="B177" s="17" t="s">
        <v>489</v>
      </c>
      <c r="C177" s="13" t="str" cm="1">
        <f t="array" ref="C177">_xlfn.IFS(LEN(B177) &lt;= 25, "Short", AND(LEN(B177) &gt; 25, LEN(B177) &lt;= 50), "Medium", LEN(B177) &gt; 50, "Long")</f>
        <v>Short</v>
      </c>
      <c r="D177" s="24" t="s">
        <v>76</v>
      </c>
      <c r="E177" s="24"/>
      <c r="F177" s="24"/>
      <c r="G177" s="1" t="s">
        <v>76</v>
      </c>
      <c r="H177" s="19" t="b">
        <f t="shared" si="8"/>
        <v>1</v>
      </c>
    </row>
    <row r="178" spans="1:8" x14ac:dyDescent="0.3">
      <c r="A178" s="1">
        <v>387</v>
      </c>
      <c r="B178" s="17" t="s">
        <v>490</v>
      </c>
      <c r="C178" s="13" t="str" cm="1">
        <f t="array" ref="C178">_xlfn.IFS(LEN(B178) &lt;= 25, "Short", AND(LEN(B178) &gt; 25, LEN(B178) &lt;= 50), "Medium", LEN(B178) &gt; 50, "Long")</f>
        <v>Short</v>
      </c>
      <c r="D178" s="24" t="s">
        <v>81</v>
      </c>
      <c r="E178" s="24"/>
      <c r="F178" s="24"/>
      <c r="G178" s="1" t="s">
        <v>81</v>
      </c>
      <c r="H178" s="19" t="b">
        <f t="shared" si="8"/>
        <v>1</v>
      </c>
    </row>
    <row r="179" spans="1:8" x14ac:dyDescent="0.3">
      <c r="A179" s="1">
        <v>388</v>
      </c>
      <c r="B179" s="17" t="s">
        <v>331</v>
      </c>
      <c r="C179" s="13" t="str" cm="1">
        <f t="array" ref="C179">_xlfn.IFS(LEN(B179) &lt;= 25, "Short", AND(LEN(B179) &gt; 25, LEN(B179) &lt;= 50), "Medium", LEN(B179) &gt; 50, "Long")</f>
        <v>Short</v>
      </c>
      <c r="D179" s="24" t="s">
        <v>76</v>
      </c>
      <c r="E179" s="24"/>
      <c r="F179" s="24"/>
      <c r="G179" s="1" t="s">
        <v>76</v>
      </c>
      <c r="H179" s="19" t="b">
        <f t="shared" si="8"/>
        <v>1</v>
      </c>
    </row>
    <row r="180" spans="1:8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24" t="s">
        <v>79</v>
      </c>
      <c r="E180" s="24"/>
      <c r="F180" s="24"/>
      <c r="G180" s="1" t="s">
        <v>252</v>
      </c>
      <c r="H180" s="19" t="b">
        <f t="shared" si="8"/>
        <v>0</v>
      </c>
    </row>
    <row r="181" spans="1:8" x14ac:dyDescent="0.3">
      <c r="A181" s="1">
        <v>390</v>
      </c>
      <c r="B181" s="17" t="s">
        <v>491</v>
      </c>
      <c r="C181" s="13" t="str" cm="1">
        <f t="array" ref="C181">_xlfn.IFS(LEN(B181) &lt;= 25, "Short", AND(LEN(B181) &gt; 25, LEN(B181) &lt;= 50), "Medium", LEN(B181) &gt; 50, "Long")</f>
        <v>Short</v>
      </c>
      <c r="D181" s="24" t="s">
        <v>77</v>
      </c>
      <c r="E181" s="24"/>
      <c r="F181" s="24"/>
      <c r="G181" s="1" t="s">
        <v>80</v>
      </c>
      <c r="H181" s="19" t="b">
        <f t="shared" si="8"/>
        <v>0</v>
      </c>
    </row>
    <row r="182" spans="1:8" x14ac:dyDescent="0.3">
      <c r="A182" s="1">
        <v>391</v>
      </c>
      <c r="B182" s="17" t="s">
        <v>492</v>
      </c>
      <c r="C182" s="13" t="str" cm="1">
        <f t="array" ref="C182">_xlfn.IFS(LEN(B182) &lt;= 25, "Short", AND(LEN(B182) &gt; 25, LEN(B182) &lt;= 50), "Medium", LEN(B182) &gt; 50, "Long")</f>
        <v>Short</v>
      </c>
      <c r="D182" s="24" t="s">
        <v>76</v>
      </c>
      <c r="E182" s="24"/>
      <c r="F182" s="24"/>
      <c r="G182" s="1" t="s">
        <v>76</v>
      </c>
      <c r="H182" s="19" t="b">
        <f t="shared" si="8"/>
        <v>1</v>
      </c>
    </row>
    <row r="183" spans="1:8" x14ac:dyDescent="0.3">
      <c r="A183" s="1">
        <v>392</v>
      </c>
      <c r="B183" s="17" t="s">
        <v>493</v>
      </c>
      <c r="C183" s="13" t="str" cm="1">
        <f t="array" ref="C183">_xlfn.IFS(LEN(B183) &lt;= 25, "Short", AND(LEN(B183) &gt; 25, LEN(B183) &lt;= 50), "Medium", LEN(B183) &gt; 50, "Long")</f>
        <v>Medium</v>
      </c>
      <c r="D183" s="24" t="s">
        <v>79</v>
      </c>
      <c r="E183" s="24"/>
      <c r="F183" s="24"/>
      <c r="G183" s="1" t="s">
        <v>252</v>
      </c>
      <c r="H183" s="19" t="b">
        <f t="shared" si="8"/>
        <v>0</v>
      </c>
    </row>
    <row r="184" spans="1:8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24" t="s">
        <v>76</v>
      </c>
      <c r="E184" s="24"/>
      <c r="F184" s="24"/>
      <c r="G184" s="1" t="s">
        <v>76</v>
      </c>
      <c r="H184" s="19" t="b">
        <f t="shared" si="8"/>
        <v>1</v>
      </c>
    </row>
    <row r="185" spans="1:8" x14ac:dyDescent="0.3">
      <c r="A185" s="1">
        <v>394</v>
      </c>
      <c r="B185" s="17" t="s">
        <v>494</v>
      </c>
      <c r="C185" s="13" t="str" cm="1">
        <f t="array" ref="C185">_xlfn.IFS(LEN(B185) &lt;= 25, "Short", AND(LEN(B185) &gt; 25, LEN(B185) &lt;= 50), "Medium", LEN(B185) &gt; 50, "Long")</f>
        <v>Medium</v>
      </c>
      <c r="D185" s="24" t="s">
        <v>252</v>
      </c>
      <c r="E185" s="24"/>
      <c r="F185" s="24"/>
      <c r="G185" s="1" t="s">
        <v>252</v>
      </c>
      <c r="H185" s="19" t="b">
        <f t="shared" si="8"/>
        <v>1</v>
      </c>
    </row>
    <row r="186" spans="1:8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24" t="s">
        <v>79</v>
      </c>
      <c r="E186" s="24"/>
      <c r="F186" s="24"/>
      <c r="G186" s="1" t="s">
        <v>79</v>
      </c>
      <c r="H186" s="19" t="b">
        <f t="shared" si="8"/>
        <v>1</v>
      </c>
    </row>
    <row r="187" spans="1:8" x14ac:dyDescent="0.3">
      <c r="A187" s="1">
        <v>396</v>
      </c>
      <c r="B187" s="17" t="s">
        <v>495</v>
      </c>
      <c r="C187" s="13" t="str" cm="1">
        <f t="array" ref="C187">_xlfn.IFS(LEN(B187) &lt;= 25, "Short", AND(LEN(B187) &gt; 25, LEN(B187) &lt;= 50), "Medium", LEN(B187) &gt; 50, "Long")</f>
        <v>Medium</v>
      </c>
      <c r="D187" s="24" t="s">
        <v>82</v>
      </c>
      <c r="E187" s="24"/>
      <c r="F187" s="24"/>
      <c r="G187" s="1" t="s">
        <v>77</v>
      </c>
      <c r="H187" s="19" t="b">
        <f t="shared" si="8"/>
        <v>0</v>
      </c>
    </row>
    <row r="188" spans="1:8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24" t="s">
        <v>79</v>
      </c>
      <c r="E188" s="24"/>
      <c r="F188" s="24"/>
      <c r="G188" s="1" t="s">
        <v>252</v>
      </c>
      <c r="H188" s="19" t="b">
        <f t="shared" si="8"/>
        <v>0</v>
      </c>
    </row>
    <row r="189" spans="1:8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24" t="s">
        <v>76</v>
      </c>
      <c r="E189" s="24"/>
      <c r="F189" s="24"/>
      <c r="G189" s="1" t="s">
        <v>76</v>
      </c>
      <c r="H189" s="19" t="b">
        <f t="shared" si="8"/>
        <v>1</v>
      </c>
    </row>
    <row r="190" spans="1:8" x14ac:dyDescent="0.3">
      <c r="A190" s="1">
        <v>399</v>
      </c>
      <c r="B190" s="17" t="s">
        <v>496</v>
      </c>
      <c r="C190" s="13" t="str" cm="1">
        <f t="array" ref="C190">_xlfn.IFS(LEN(B190) &lt;= 25, "Short", AND(LEN(B190) &gt; 25, LEN(B190) &lt;= 50), "Medium", LEN(B190) &gt; 50, "Long")</f>
        <v>Short</v>
      </c>
      <c r="D190" s="24" t="s">
        <v>82</v>
      </c>
      <c r="E190" s="24"/>
      <c r="F190" s="24"/>
      <c r="G190" s="1" t="s">
        <v>77</v>
      </c>
      <c r="H190" s="19" t="b">
        <f t="shared" si="8"/>
        <v>0</v>
      </c>
    </row>
    <row r="191" spans="1:8" x14ac:dyDescent="0.3">
      <c r="A191" s="1">
        <v>400</v>
      </c>
      <c r="B191" s="17" t="s">
        <v>497</v>
      </c>
      <c r="C191" s="13" t="str" cm="1">
        <f t="array" ref="C191">_xlfn.IFS(LEN(B191) &lt;= 25, "Short", AND(LEN(B191) &gt; 25, LEN(B191) &lt;= 50), "Medium", LEN(B191) &gt; 50, "Long")</f>
        <v>Short</v>
      </c>
      <c r="D191" s="24" t="s">
        <v>82</v>
      </c>
      <c r="E191" s="24"/>
      <c r="F191" s="24"/>
      <c r="G191" s="1" t="s">
        <v>81</v>
      </c>
      <c r="H191" s="19" t="b">
        <f t="shared" si="8"/>
        <v>0</v>
      </c>
    </row>
    <row r="192" spans="1:8" x14ac:dyDescent="0.3">
      <c r="A192" s="1">
        <v>401</v>
      </c>
      <c r="B192" s="17" t="s">
        <v>498</v>
      </c>
      <c r="C192" s="13" t="str" cm="1">
        <f t="array" ref="C192">_xlfn.IFS(LEN(B192) &lt;= 25, "Short", AND(LEN(B192) &gt; 25, LEN(B192) &lt;= 50), "Medium", LEN(B192) &gt; 50, "Long")</f>
        <v>Medium</v>
      </c>
      <c r="D192" s="24" t="s">
        <v>79</v>
      </c>
      <c r="E192" s="24"/>
      <c r="F192" s="24"/>
      <c r="G192" s="1" t="s">
        <v>82</v>
      </c>
      <c r="H192" s="19" t="b">
        <f t="shared" si="8"/>
        <v>0</v>
      </c>
    </row>
    <row r="193" spans="1:8" x14ac:dyDescent="0.3">
      <c r="A193" s="1">
        <v>402</v>
      </c>
      <c r="B193" s="17" t="s">
        <v>499</v>
      </c>
      <c r="C193" s="13" t="str" cm="1">
        <f t="array" ref="C193">_xlfn.IFS(LEN(B193) &lt;= 25, "Short", AND(LEN(B193) &gt; 25, LEN(B193) &lt;= 50), "Medium", LEN(B193) &gt; 50, "Long")</f>
        <v>Short</v>
      </c>
      <c r="D193" s="24" t="s">
        <v>79</v>
      </c>
      <c r="E193" s="24"/>
      <c r="F193" s="24"/>
      <c r="G193" s="1" t="s">
        <v>79</v>
      </c>
      <c r="H193" s="19" t="b">
        <f t="shared" si="8"/>
        <v>1</v>
      </c>
    </row>
    <row r="194" spans="1:8" x14ac:dyDescent="0.3">
      <c r="A194" s="1">
        <v>403</v>
      </c>
      <c r="B194" s="17" t="s">
        <v>500</v>
      </c>
      <c r="C194" s="13" t="str" cm="1">
        <f t="array" ref="C194">_xlfn.IFS(LEN(B194) &lt;= 25, "Short", AND(LEN(B194) &gt; 25, LEN(B194) &lt;= 50), "Medium", LEN(B194) &gt; 50, "Long")</f>
        <v>Medium</v>
      </c>
      <c r="D194" s="24" t="s">
        <v>81</v>
      </c>
      <c r="E194" s="24"/>
      <c r="F194" s="24"/>
      <c r="G194" s="1" t="s">
        <v>81</v>
      </c>
      <c r="H194" s="19" t="b">
        <f t="shared" si="8"/>
        <v>1</v>
      </c>
    </row>
    <row r="195" spans="1:8" x14ac:dyDescent="0.3">
      <c r="A195" s="1">
        <v>404</v>
      </c>
      <c r="B195" s="17" t="s">
        <v>501</v>
      </c>
      <c r="C195" s="13" t="str" cm="1">
        <f t="array" ref="C195">_xlfn.IFS(LEN(B195) &lt;= 25, "Short", AND(LEN(B195) &gt; 25, LEN(B195) &lt;= 50), "Medium", LEN(B195) &gt; 50, "Long")</f>
        <v>Short</v>
      </c>
      <c r="D195" s="24" t="s">
        <v>252</v>
      </c>
      <c r="E195" s="24"/>
      <c r="F195" s="24"/>
      <c r="G195" s="1" t="s">
        <v>252</v>
      </c>
      <c r="H195" s="19" t="b">
        <f t="shared" ref="H195:H211" si="9">IF(OR(D195=G195, E195=G195, F195=G195), TRUE, FALSE)</f>
        <v>1</v>
      </c>
    </row>
    <row r="196" spans="1:8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24" t="s">
        <v>76</v>
      </c>
      <c r="E196" s="24"/>
      <c r="F196" s="24"/>
      <c r="G196" s="1" t="s">
        <v>76</v>
      </c>
      <c r="H196" s="19" t="b">
        <f t="shared" si="9"/>
        <v>1</v>
      </c>
    </row>
    <row r="197" spans="1:8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24" t="s">
        <v>76</v>
      </c>
      <c r="E197" s="24"/>
      <c r="F197" s="24"/>
      <c r="G197" s="1" t="s">
        <v>76</v>
      </c>
      <c r="H197" s="19" t="b">
        <f t="shared" si="9"/>
        <v>1</v>
      </c>
    </row>
    <row r="198" spans="1:8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24" t="s">
        <v>82</v>
      </c>
      <c r="E198" s="24"/>
      <c r="F198" s="24"/>
      <c r="G198" s="1" t="s">
        <v>252</v>
      </c>
      <c r="H198" s="19" t="b">
        <f t="shared" si="9"/>
        <v>0</v>
      </c>
    </row>
    <row r="199" spans="1:8" x14ac:dyDescent="0.3">
      <c r="A199" s="1">
        <v>408</v>
      </c>
      <c r="B199" s="17" t="s">
        <v>502</v>
      </c>
      <c r="C199" s="13" t="str" cm="1">
        <f t="array" ref="C199">_xlfn.IFS(LEN(B199) &lt;= 25, "Short", AND(LEN(B199) &gt; 25, LEN(B199) &lt;= 50), "Medium", LEN(B199) &gt; 50, "Long")</f>
        <v>Medium</v>
      </c>
      <c r="D199" s="24" t="s">
        <v>79</v>
      </c>
      <c r="E199" s="24"/>
      <c r="F199" s="24"/>
      <c r="G199" s="1" t="s">
        <v>82</v>
      </c>
      <c r="H199" s="19" t="b">
        <f t="shared" si="9"/>
        <v>0</v>
      </c>
    </row>
    <row r="200" spans="1:8" x14ac:dyDescent="0.3">
      <c r="A200" s="1">
        <v>409</v>
      </c>
      <c r="B200" s="17" t="s">
        <v>503</v>
      </c>
      <c r="C200" s="13" t="str" cm="1">
        <f t="array" ref="C200">_xlfn.IFS(LEN(B200) &lt;= 25, "Short", AND(LEN(B200) &gt; 25, LEN(B200) &lt;= 50), "Medium", LEN(B200) &gt; 50, "Long")</f>
        <v>Medium</v>
      </c>
      <c r="D200" s="24" t="s">
        <v>76</v>
      </c>
      <c r="E200" s="24"/>
      <c r="F200" s="24"/>
      <c r="G200" s="1" t="s">
        <v>76</v>
      </c>
      <c r="H200" s="19" t="b">
        <f t="shared" si="9"/>
        <v>1</v>
      </c>
    </row>
    <row r="201" spans="1:8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24" t="s">
        <v>76</v>
      </c>
      <c r="E201" s="24"/>
      <c r="F201" s="24"/>
      <c r="G201" s="1" t="s">
        <v>76</v>
      </c>
      <c r="H201" s="19" t="b">
        <f t="shared" si="9"/>
        <v>1</v>
      </c>
    </row>
    <row r="202" spans="1:8" x14ac:dyDescent="0.3">
      <c r="A202" s="1">
        <v>411</v>
      </c>
      <c r="B202" s="17" t="s">
        <v>504</v>
      </c>
      <c r="C202" s="13" t="str" cm="1">
        <f t="array" ref="C202">_xlfn.IFS(LEN(B202) &lt;= 25, "Short", AND(LEN(B202) &gt; 25, LEN(B202) &lt;= 50), "Medium", LEN(B202) &gt; 50, "Long")</f>
        <v>Medium</v>
      </c>
      <c r="D202" s="24" t="s">
        <v>79</v>
      </c>
      <c r="E202" s="24"/>
      <c r="F202" s="24"/>
      <c r="G202" s="1" t="s">
        <v>82</v>
      </c>
      <c r="H202" s="19" t="b">
        <f t="shared" si="9"/>
        <v>0</v>
      </c>
    </row>
    <row r="203" spans="1:8" x14ac:dyDescent="0.3">
      <c r="A203" s="1">
        <v>412</v>
      </c>
      <c r="B203" s="17" t="s">
        <v>505</v>
      </c>
      <c r="C203" s="13" t="str" cm="1">
        <f t="array" ref="C203">_xlfn.IFS(LEN(B203) &lt;= 25, "Short", AND(LEN(B203) &gt; 25, LEN(B203) &lt;= 50), "Medium", LEN(B203) &gt; 50, "Long")</f>
        <v>Medium</v>
      </c>
      <c r="D203" s="24" t="s">
        <v>79</v>
      </c>
      <c r="E203" s="24"/>
      <c r="F203" s="24"/>
      <c r="G203" s="1" t="s">
        <v>82</v>
      </c>
      <c r="H203" s="19" t="b">
        <f t="shared" si="9"/>
        <v>0</v>
      </c>
    </row>
    <row r="204" spans="1:8" x14ac:dyDescent="0.3">
      <c r="A204" s="1">
        <v>413</v>
      </c>
      <c r="B204" s="17" t="s">
        <v>506</v>
      </c>
      <c r="C204" s="13" t="str" cm="1">
        <f t="array" ref="C204">_xlfn.IFS(LEN(B204) &lt;= 25, "Short", AND(LEN(B204) &gt; 25, LEN(B204) &lt;= 50), "Medium", LEN(B204) &gt; 50, "Long")</f>
        <v>Short</v>
      </c>
      <c r="D204" s="24" t="s">
        <v>82</v>
      </c>
      <c r="E204" s="24"/>
      <c r="F204" s="24"/>
      <c r="G204" s="1" t="s">
        <v>80</v>
      </c>
      <c r="H204" s="19" t="b">
        <f t="shared" si="9"/>
        <v>0</v>
      </c>
    </row>
    <row r="205" spans="1:8" x14ac:dyDescent="0.3">
      <c r="A205" s="1">
        <v>414</v>
      </c>
      <c r="B205" s="17" t="s">
        <v>348</v>
      </c>
      <c r="C205" s="13" t="str" cm="1">
        <f t="array" ref="C205">_xlfn.IFS(LEN(B205) &lt;= 25, "Short", AND(LEN(B205) &gt; 25, LEN(B205) &lt;= 50), "Medium", LEN(B205) &gt; 50, "Long")</f>
        <v>Short</v>
      </c>
      <c r="D205" s="24" t="s">
        <v>82</v>
      </c>
      <c r="E205" s="24"/>
      <c r="F205" s="24"/>
      <c r="G205" s="1" t="s">
        <v>81</v>
      </c>
      <c r="H205" s="19" t="b">
        <f t="shared" si="9"/>
        <v>0</v>
      </c>
    </row>
    <row r="206" spans="1:8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24" t="s">
        <v>79</v>
      </c>
      <c r="E206" s="24"/>
      <c r="F206" s="24"/>
      <c r="G206" s="1" t="s">
        <v>80</v>
      </c>
      <c r="H206" s="19" t="b">
        <f t="shared" si="9"/>
        <v>0</v>
      </c>
    </row>
    <row r="207" spans="1:8" x14ac:dyDescent="0.3">
      <c r="A207" s="1">
        <v>416</v>
      </c>
      <c r="B207" s="17" t="s">
        <v>507</v>
      </c>
      <c r="C207" s="13" t="str" cm="1">
        <f t="array" ref="C207">_xlfn.IFS(LEN(B207) &lt;= 25, "Short", AND(LEN(B207) &gt; 25, LEN(B207) &lt;= 50), "Medium", LEN(B207) &gt; 50, "Long")</f>
        <v>Medium</v>
      </c>
      <c r="D207" s="24" t="s">
        <v>79</v>
      </c>
      <c r="E207" s="24"/>
      <c r="F207" s="24"/>
      <c r="G207" s="1" t="s">
        <v>252</v>
      </c>
      <c r="H207" s="19" t="b">
        <f t="shared" si="9"/>
        <v>0</v>
      </c>
    </row>
    <row r="208" spans="1:8" x14ac:dyDescent="0.3">
      <c r="A208" s="1">
        <v>417</v>
      </c>
      <c r="B208" s="17" t="s">
        <v>508</v>
      </c>
      <c r="C208" s="13" t="str" cm="1">
        <f t="array" ref="C208">_xlfn.IFS(LEN(B208) &lt;= 25, "Short", AND(LEN(B208) &gt; 25, LEN(B208) &lt;= 50), "Medium", LEN(B208) &gt; 50, "Long")</f>
        <v>Long</v>
      </c>
      <c r="D208" s="24" t="s">
        <v>79</v>
      </c>
      <c r="E208" s="24"/>
      <c r="F208" s="24"/>
      <c r="G208" s="1" t="s">
        <v>252</v>
      </c>
      <c r="H208" s="19" t="b">
        <f t="shared" si="9"/>
        <v>0</v>
      </c>
    </row>
    <row r="209" spans="1:8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24" t="s">
        <v>79</v>
      </c>
      <c r="E209" s="24"/>
      <c r="F209" s="24"/>
      <c r="G209" s="1" t="s">
        <v>80</v>
      </c>
      <c r="H209" s="19" t="b">
        <f t="shared" si="9"/>
        <v>0</v>
      </c>
    </row>
    <row r="210" spans="1:8" x14ac:dyDescent="0.3">
      <c r="A210" s="1">
        <v>419</v>
      </c>
      <c r="B210" s="17" t="s">
        <v>509</v>
      </c>
      <c r="C210" s="13" t="str" cm="1">
        <f t="array" ref="C210">_xlfn.IFS(LEN(B210) &lt;= 25, "Short", AND(LEN(B210) &gt; 25, LEN(B210) &lt;= 50), "Medium", LEN(B210) &gt; 50, "Long")</f>
        <v>Long</v>
      </c>
      <c r="D210" s="24" t="s">
        <v>81</v>
      </c>
      <c r="E210" s="24"/>
      <c r="F210" s="24"/>
      <c r="G210" s="1" t="s">
        <v>252</v>
      </c>
      <c r="H210" s="19" t="b">
        <f t="shared" si="9"/>
        <v>0</v>
      </c>
    </row>
    <row r="211" spans="1:8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24" t="s">
        <v>79</v>
      </c>
      <c r="E211" s="23"/>
      <c r="F211" s="23"/>
      <c r="G211" s="1" t="s">
        <v>79</v>
      </c>
      <c r="H211" s="19" t="b">
        <f t="shared" si="9"/>
        <v>1</v>
      </c>
    </row>
  </sheetData>
  <autoFilter ref="G1:G211" xr:uid="{4ACE5D09-267F-42B2-9FA7-7C4D20F22CCE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2CD8-38BA-4906-87D1-972B54A7DD71}">
  <dimension ref="A1:E211"/>
  <sheetViews>
    <sheetView topLeftCell="A185" workbookViewId="0">
      <selection activeCell="C2" sqref="C2:E211"/>
    </sheetView>
  </sheetViews>
  <sheetFormatPr defaultRowHeight="14.4" x14ac:dyDescent="0.3"/>
  <sheetData>
    <row r="1" spans="1:5" x14ac:dyDescent="0.3">
      <c r="A1" s="21" t="s">
        <v>75</v>
      </c>
      <c r="B1" s="21" t="s">
        <v>74</v>
      </c>
      <c r="C1" s="21" t="s">
        <v>513</v>
      </c>
      <c r="D1" s="21" t="s">
        <v>514</v>
      </c>
      <c r="E1" s="21" t="s">
        <v>515</v>
      </c>
    </row>
    <row r="2" spans="1:5" x14ac:dyDescent="0.3">
      <c r="A2" s="24">
        <v>1</v>
      </c>
      <c r="B2" s="24" t="s">
        <v>48</v>
      </c>
      <c r="C2" s="24" t="s">
        <v>81</v>
      </c>
      <c r="D2" s="24"/>
      <c r="E2" s="24"/>
    </row>
    <row r="3" spans="1:5" x14ac:dyDescent="0.3">
      <c r="A3" s="24">
        <v>2</v>
      </c>
      <c r="B3" s="24" t="s">
        <v>106</v>
      </c>
      <c r="C3" s="24" t="s">
        <v>76</v>
      </c>
      <c r="D3" s="24"/>
      <c r="E3" s="24"/>
    </row>
    <row r="4" spans="1:5" x14ac:dyDescent="0.3">
      <c r="A4" s="24">
        <v>3</v>
      </c>
      <c r="B4" s="24" t="s">
        <v>156</v>
      </c>
      <c r="C4" s="24" t="s">
        <v>80</v>
      </c>
      <c r="D4" s="24"/>
      <c r="E4" s="24"/>
    </row>
    <row r="5" spans="1:5" x14ac:dyDescent="0.3">
      <c r="A5" s="24">
        <v>4</v>
      </c>
      <c r="B5" s="24" t="s">
        <v>389</v>
      </c>
      <c r="C5" s="24" t="s">
        <v>80</v>
      </c>
      <c r="D5" s="24"/>
      <c r="E5" s="24"/>
    </row>
    <row r="6" spans="1:5" x14ac:dyDescent="0.3">
      <c r="A6" s="24">
        <v>5</v>
      </c>
      <c r="B6" s="24" t="s">
        <v>390</v>
      </c>
      <c r="C6" s="24" t="s">
        <v>82</v>
      </c>
      <c r="D6" s="24"/>
      <c r="E6" s="24"/>
    </row>
    <row r="7" spans="1:5" x14ac:dyDescent="0.3">
      <c r="A7" s="24">
        <v>6</v>
      </c>
      <c r="B7" s="24" t="s">
        <v>295</v>
      </c>
      <c r="C7" s="24" t="s">
        <v>79</v>
      </c>
      <c r="D7" s="24"/>
      <c r="E7" s="24"/>
    </row>
    <row r="8" spans="1:5" x14ac:dyDescent="0.3">
      <c r="A8" s="24">
        <v>7</v>
      </c>
      <c r="B8" s="24" t="s">
        <v>64</v>
      </c>
      <c r="C8" s="24" t="s">
        <v>252</v>
      </c>
      <c r="D8" s="24"/>
      <c r="E8" s="24"/>
    </row>
    <row r="9" spans="1:5" x14ac:dyDescent="0.3">
      <c r="A9" s="24">
        <v>8</v>
      </c>
      <c r="B9" s="24" t="s">
        <v>391</v>
      </c>
      <c r="C9" s="24" t="s">
        <v>81</v>
      </c>
      <c r="D9" s="24"/>
      <c r="E9" s="24"/>
    </row>
    <row r="10" spans="1:5" x14ac:dyDescent="0.3">
      <c r="A10" s="24">
        <v>9</v>
      </c>
      <c r="B10" s="24" t="s">
        <v>392</v>
      </c>
      <c r="C10" s="24" t="s">
        <v>79</v>
      </c>
      <c r="D10" s="24"/>
      <c r="E10" s="24"/>
    </row>
    <row r="11" spans="1:5" x14ac:dyDescent="0.3">
      <c r="A11" s="24">
        <v>10</v>
      </c>
      <c r="B11" s="24" t="s">
        <v>251</v>
      </c>
      <c r="C11" s="24" t="s">
        <v>80</v>
      </c>
      <c r="D11" s="24"/>
      <c r="E11" s="24"/>
    </row>
    <row r="12" spans="1:5" x14ac:dyDescent="0.3">
      <c r="A12" s="24">
        <v>11</v>
      </c>
      <c r="B12" s="24" t="s">
        <v>393</v>
      </c>
      <c r="C12" s="24" t="s">
        <v>252</v>
      </c>
      <c r="D12" s="24"/>
      <c r="E12" s="24"/>
    </row>
    <row r="13" spans="1:5" x14ac:dyDescent="0.3">
      <c r="A13" s="24">
        <v>12</v>
      </c>
      <c r="B13" s="24" t="s">
        <v>394</v>
      </c>
      <c r="C13" s="24" t="s">
        <v>76</v>
      </c>
      <c r="D13" s="24"/>
      <c r="E13" s="24"/>
    </row>
    <row r="14" spans="1:5" x14ac:dyDescent="0.3">
      <c r="A14" s="24">
        <v>13</v>
      </c>
      <c r="B14" s="24" t="s">
        <v>161</v>
      </c>
      <c r="C14" s="24" t="s">
        <v>79</v>
      </c>
      <c r="D14" s="24"/>
      <c r="E14" s="24"/>
    </row>
    <row r="15" spans="1:5" x14ac:dyDescent="0.3">
      <c r="A15" s="24">
        <v>14</v>
      </c>
      <c r="B15" s="24" t="s">
        <v>395</v>
      </c>
      <c r="C15" s="24" t="s">
        <v>79</v>
      </c>
      <c r="D15" s="24"/>
      <c r="E15" s="24"/>
    </row>
    <row r="16" spans="1:5" x14ac:dyDescent="0.3">
      <c r="A16" s="24">
        <v>15</v>
      </c>
      <c r="B16" s="24" t="s">
        <v>396</v>
      </c>
      <c r="C16" s="24" t="s">
        <v>79</v>
      </c>
      <c r="D16" s="24"/>
      <c r="E16" s="24"/>
    </row>
    <row r="17" spans="1:5" x14ac:dyDescent="0.3">
      <c r="A17" s="24">
        <v>16</v>
      </c>
      <c r="B17" s="24" t="s">
        <v>125</v>
      </c>
      <c r="C17" s="24" t="s">
        <v>80</v>
      </c>
      <c r="D17" s="24"/>
      <c r="E17" s="24"/>
    </row>
    <row r="18" spans="1:5" x14ac:dyDescent="0.3">
      <c r="A18" s="24">
        <v>17</v>
      </c>
      <c r="B18" s="24" t="s">
        <v>397</v>
      </c>
      <c r="C18" s="24" t="s">
        <v>82</v>
      </c>
      <c r="D18" s="24"/>
      <c r="E18" s="24"/>
    </row>
    <row r="19" spans="1:5" x14ac:dyDescent="0.3">
      <c r="A19" s="24">
        <v>18</v>
      </c>
      <c r="B19" s="24" t="s">
        <v>398</v>
      </c>
      <c r="C19" s="24" t="s">
        <v>79</v>
      </c>
      <c r="D19" s="24"/>
      <c r="E19" s="24"/>
    </row>
    <row r="20" spans="1:5" x14ac:dyDescent="0.3">
      <c r="A20" s="24">
        <v>19</v>
      </c>
      <c r="B20" s="24" t="s">
        <v>399</v>
      </c>
      <c r="C20" s="24" t="s">
        <v>76</v>
      </c>
      <c r="D20" s="24"/>
      <c r="E20" s="24"/>
    </row>
    <row r="21" spans="1:5" x14ac:dyDescent="0.3">
      <c r="A21" s="24">
        <v>20</v>
      </c>
      <c r="B21" s="24" t="s">
        <v>285</v>
      </c>
      <c r="C21" s="24" t="s">
        <v>79</v>
      </c>
      <c r="D21" s="24"/>
      <c r="E21" s="24"/>
    </row>
    <row r="22" spans="1:5" x14ac:dyDescent="0.3">
      <c r="A22" s="24">
        <v>21</v>
      </c>
      <c r="B22" s="24" t="s">
        <v>337</v>
      </c>
      <c r="C22" s="24" t="s">
        <v>79</v>
      </c>
      <c r="D22" s="24"/>
      <c r="E22" s="24"/>
    </row>
    <row r="23" spans="1:5" x14ac:dyDescent="0.3">
      <c r="A23" s="24">
        <v>22</v>
      </c>
      <c r="B23" s="24" t="s">
        <v>534</v>
      </c>
      <c r="C23" s="24" t="s">
        <v>79</v>
      </c>
      <c r="D23" s="24"/>
      <c r="E23" s="24"/>
    </row>
    <row r="24" spans="1:5" x14ac:dyDescent="0.3">
      <c r="A24" s="24">
        <v>23</v>
      </c>
      <c r="B24" s="24" t="s">
        <v>368</v>
      </c>
      <c r="C24" s="24" t="s">
        <v>79</v>
      </c>
      <c r="D24" s="24"/>
      <c r="E24" s="24"/>
    </row>
    <row r="25" spans="1:5" x14ac:dyDescent="0.3">
      <c r="A25" s="24">
        <v>24</v>
      </c>
      <c r="B25" s="24" t="s">
        <v>401</v>
      </c>
      <c r="C25" s="24" t="s">
        <v>77</v>
      </c>
      <c r="D25" s="24"/>
      <c r="E25" s="24"/>
    </row>
    <row r="26" spans="1:5" x14ac:dyDescent="0.3">
      <c r="A26" s="24">
        <v>25</v>
      </c>
      <c r="B26" s="24" t="s">
        <v>96</v>
      </c>
      <c r="C26" s="24" t="s">
        <v>252</v>
      </c>
      <c r="D26" s="24"/>
      <c r="E26" s="24"/>
    </row>
    <row r="27" spans="1:5" x14ac:dyDescent="0.3">
      <c r="A27" s="24">
        <v>26</v>
      </c>
      <c r="B27" s="24" t="s">
        <v>402</v>
      </c>
      <c r="C27" s="24" t="s">
        <v>252</v>
      </c>
      <c r="D27" s="24"/>
      <c r="E27" s="24"/>
    </row>
    <row r="28" spans="1:5" x14ac:dyDescent="0.3">
      <c r="A28" s="24">
        <v>27</v>
      </c>
      <c r="B28" s="24" t="s">
        <v>168</v>
      </c>
      <c r="C28" s="24" t="s">
        <v>81</v>
      </c>
      <c r="D28" s="24"/>
      <c r="E28" s="24"/>
    </row>
    <row r="29" spans="1:5" x14ac:dyDescent="0.3">
      <c r="A29" s="24">
        <v>28</v>
      </c>
      <c r="B29" s="24" t="s">
        <v>111</v>
      </c>
      <c r="C29" s="24" t="s">
        <v>76</v>
      </c>
      <c r="D29" s="24"/>
      <c r="E29" s="24"/>
    </row>
    <row r="30" spans="1:5" x14ac:dyDescent="0.3">
      <c r="A30" s="24">
        <v>29</v>
      </c>
      <c r="B30" s="24" t="s">
        <v>105</v>
      </c>
      <c r="C30" s="24" t="s">
        <v>76</v>
      </c>
      <c r="D30" s="24"/>
      <c r="E30" s="24"/>
    </row>
    <row r="31" spans="1:5" x14ac:dyDescent="0.3">
      <c r="A31" s="24">
        <v>30</v>
      </c>
      <c r="B31" s="24" t="s">
        <v>169</v>
      </c>
      <c r="C31" s="24" t="s">
        <v>76</v>
      </c>
      <c r="D31" s="24"/>
      <c r="E31" s="24"/>
    </row>
    <row r="32" spans="1:5" x14ac:dyDescent="0.3">
      <c r="A32" s="24">
        <v>31</v>
      </c>
      <c r="B32" s="24" t="s">
        <v>403</v>
      </c>
      <c r="C32" s="24" t="s">
        <v>82</v>
      </c>
      <c r="D32" s="24"/>
      <c r="E32" s="24"/>
    </row>
    <row r="33" spans="1:5" x14ac:dyDescent="0.3">
      <c r="A33" s="24">
        <v>32</v>
      </c>
      <c r="B33" s="24" t="s">
        <v>171</v>
      </c>
      <c r="C33" s="24" t="s">
        <v>79</v>
      </c>
      <c r="D33" s="24"/>
      <c r="E33" s="24"/>
    </row>
    <row r="34" spans="1:5" x14ac:dyDescent="0.3">
      <c r="A34" s="24">
        <v>33</v>
      </c>
      <c r="B34" s="24" t="s">
        <v>404</v>
      </c>
      <c r="C34" s="24" t="s">
        <v>82</v>
      </c>
      <c r="D34" s="24"/>
      <c r="E34" s="24"/>
    </row>
    <row r="35" spans="1:5" x14ac:dyDescent="0.3">
      <c r="A35" s="24">
        <v>34</v>
      </c>
      <c r="B35" s="24" t="s">
        <v>535</v>
      </c>
      <c r="C35" s="24" t="s">
        <v>79</v>
      </c>
      <c r="D35" s="24"/>
      <c r="E35" s="24"/>
    </row>
    <row r="36" spans="1:5" x14ac:dyDescent="0.3">
      <c r="A36" s="24">
        <v>35</v>
      </c>
      <c r="B36" s="24" t="s">
        <v>406</v>
      </c>
      <c r="C36" s="24" t="s">
        <v>81</v>
      </c>
      <c r="D36" s="24"/>
      <c r="E36" s="24"/>
    </row>
    <row r="37" spans="1:5" x14ac:dyDescent="0.3">
      <c r="A37" s="24">
        <v>36</v>
      </c>
      <c r="B37" s="24" t="s">
        <v>51</v>
      </c>
      <c r="C37" s="24" t="s">
        <v>81</v>
      </c>
      <c r="D37" s="24"/>
      <c r="E37" s="24"/>
    </row>
    <row r="38" spans="1:5" x14ac:dyDescent="0.3">
      <c r="A38" s="24">
        <v>37</v>
      </c>
      <c r="B38" s="24" t="s">
        <v>407</v>
      </c>
      <c r="C38" s="24" t="s">
        <v>79</v>
      </c>
      <c r="D38" s="24"/>
      <c r="E38" s="24"/>
    </row>
    <row r="39" spans="1:5" x14ac:dyDescent="0.3">
      <c r="A39" s="24">
        <v>38</v>
      </c>
      <c r="B39" s="24" t="s">
        <v>173</v>
      </c>
      <c r="C39" s="24" t="s">
        <v>79</v>
      </c>
      <c r="D39" s="24"/>
      <c r="E39" s="24"/>
    </row>
    <row r="40" spans="1:5" x14ac:dyDescent="0.3">
      <c r="A40" s="24">
        <v>39</v>
      </c>
      <c r="B40" s="24" t="s">
        <v>536</v>
      </c>
      <c r="C40" s="24" t="s">
        <v>252</v>
      </c>
      <c r="D40" s="24"/>
      <c r="E40" s="24"/>
    </row>
    <row r="41" spans="1:5" x14ac:dyDescent="0.3">
      <c r="A41" s="24">
        <v>40</v>
      </c>
      <c r="B41" s="24" t="s">
        <v>537</v>
      </c>
      <c r="C41" s="24" t="s">
        <v>252</v>
      </c>
      <c r="D41" s="24"/>
      <c r="E41" s="24"/>
    </row>
    <row r="42" spans="1:5" x14ac:dyDescent="0.3">
      <c r="A42" s="24">
        <v>41</v>
      </c>
      <c r="B42" s="24" t="s">
        <v>410</v>
      </c>
      <c r="C42" s="24" t="s">
        <v>79</v>
      </c>
      <c r="D42" s="24"/>
      <c r="E42" s="24"/>
    </row>
    <row r="43" spans="1:5" x14ac:dyDescent="0.3">
      <c r="A43" s="24">
        <v>42</v>
      </c>
      <c r="B43" s="24" t="s">
        <v>342</v>
      </c>
      <c r="C43" s="24" t="s">
        <v>79</v>
      </c>
      <c r="D43" s="24" t="s">
        <v>82</v>
      </c>
      <c r="E43" s="24"/>
    </row>
    <row r="44" spans="1:5" x14ac:dyDescent="0.3">
      <c r="A44" s="24">
        <v>43</v>
      </c>
      <c r="B44" s="24" t="s">
        <v>121</v>
      </c>
      <c r="C44" s="24" t="s">
        <v>252</v>
      </c>
      <c r="D44" s="24"/>
      <c r="E44" s="24"/>
    </row>
    <row r="45" spans="1:5" x14ac:dyDescent="0.3">
      <c r="A45" s="24">
        <v>44</v>
      </c>
      <c r="B45" s="24" t="s">
        <v>411</v>
      </c>
      <c r="C45" s="24" t="s">
        <v>82</v>
      </c>
      <c r="D45" s="24"/>
      <c r="E45" s="24"/>
    </row>
    <row r="46" spans="1:5" x14ac:dyDescent="0.3">
      <c r="A46" s="24">
        <v>45</v>
      </c>
      <c r="B46" s="24" t="s">
        <v>412</v>
      </c>
      <c r="C46" s="24" t="s">
        <v>77</v>
      </c>
      <c r="D46" s="24"/>
      <c r="E46" s="24"/>
    </row>
    <row r="47" spans="1:5" x14ac:dyDescent="0.3">
      <c r="A47" s="24">
        <v>46</v>
      </c>
      <c r="B47" s="24" t="s">
        <v>413</v>
      </c>
      <c r="C47" s="24" t="s">
        <v>79</v>
      </c>
      <c r="D47" s="24"/>
      <c r="E47" s="24"/>
    </row>
    <row r="48" spans="1:5" x14ac:dyDescent="0.3">
      <c r="A48" s="24">
        <v>47</v>
      </c>
      <c r="B48" s="24" t="s">
        <v>414</v>
      </c>
      <c r="C48" s="24" t="s">
        <v>81</v>
      </c>
      <c r="D48" s="24"/>
      <c r="E48" s="24"/>
    </row>
    <row r="49" spans="1:5" x14ac:dyDescent="0.3">
      <c r="A49" s="24">
        <v>48</v>
      </c>
      <c r="B49" s="24" t="s">
        <v>67</v>
      </c>
      <c r="C49" s="24" t="s">
        <v>76</v>
      </c>
      <c r="D49" s="24"/>
      <c r="E49" s="24"/>
    </row>
    <row r="50" spans="1:5" x14ac:dyDescent="0.3">
      <c r="A50" s="24">
        <v>49</v>
      </c>
      <c r="B50" s="24" t="s">
        <v>114</v>
      </c>
      <c r="C50" s="24" t="s">
        <v>76</v>
      </c>
      <c r="D50" s="24"/>
      <c r="E50" s="24"/>
    </row>
    <row r="51" spans="1:5" x14ac:dyDescent="0.3">
      <c r="A51" s="24">
        <v>50</v>
      </c>
      <c r="B51" s="24" t="s">
        <v>87</v>
      </c>
      <c r="C51" s="24" t="s">
        <v>79</v>
      </c>
      <c r="D51" s="24"/>
      <c r="E51" s="24"/>
    </row>
    <row r="52" spans="1:5" x14ac:dyDescent="0.3">
      <c r="A52" s="24">
        <v>51</v>
      </c>
      <c r="B52" s="24" t="s">
        <v>538</v>
      </c>
      <c r="C52" s="24" t="s">
        <v>80</v>
      </c>
      <c r="D52" s="24"/>
      <c r="E52" s="24"/>
    </row>
    <row r="53" spans="1:5" x14ac:dyDescent="0.3">
      <c r="A53" s="24">
        <v>52</v>
      </c>
      <c r="B53" s="24" t="s">
        <v>91</v>
      </c>
      <c r="C53" s="24" t="s">
        <v>77</v>
      </c>
      <c r="D53" s="24"/>
      <c r="E53" s="24"/>
    </row>
    <row r="54" spans="1:5" x14ac:dyDescent="0.3">
      <c r="A54" s="24">
        <v>53</v>
      </c>
      <c r="B54" s="24" t="s">
        <v>416</v>
      </c>
      <c r="C54" s="24" t="s">
        <v>82</v>
      </c>
      <c r="D54" s="24"/>
      <c r="E54" s="24"/>
    </row>
    <row r="55" spans="1:5" x14ac:dyDescent="0.3">
      <c r="A55" s="24">
        <v>54</v>
      </c>
      <c r="B55" s="24" t="s">
        <v>539</v>
      </c>
      <c r="C55" s="24" t="s">
        <v>80</v>
      </c>
      <c r="D55" s="24"/>
      <c r="E55" s="24"/>
    </row>
    <row r="56" spans="1:5" x14ac:dyDescent="0.3">
      <c r="A56" s="24">
        <v>55</v>
      </c>
      <c r="B56" s="24" t="s">
        <v>100</v>
      </c>
      <c r="C56" s="24" t="s">
        <v>79</v>
      </c>
      <c r="D56" s="24"/>
      <c r="E56" s="24"/>
    </row>
    <row r="57" spans="1:5" x14ac:dyDescent="0.3">
      <c r="A57" s="24">
        <v>56</v>
      </c>
      <c r="B57" s="24" t="s">
        <v>540</v>
      </c>
      <c r="C57" s="24" t="s">
        <v>81</v>
      </c>
      <c r="D57" s="24"/>
      <c r="E57" s="24"/>
    </row>
    <row r="58" spans="1:5" x14ac:dyDescent="0.3">
      <c r="A58" s="24">
        <v>57</v>
      </c>
      <c r="B58" s="24" t="s">
        <v>419</v>
      </c>
      <c r="C58" s="24" t="s">
        <v>81</v>
      </c>
      <c r="D58" s="24"/>
      <c r="E58" s="24"/>
    </row>
    <row r="59" spans="1:5" x14ac:dyDescent="0.3">
      <c r="A59" s="24">
        <v>58</v>
      </c>
      <c r="B59" s="24" t="s">
        <v>35</v>
      </c>
      <c r="C59" s="24" t="s">
        <v>76</v>
      </c>
      <c r="D59" s="24"/>
      <c r="E59" s="24"/>
    </row>
    <row r="60" spans="1:5" x14ac:dyDescent="0.3">
      <c r="A60" s="24">
        <v>59</v>
      </c>
      <c r="B60" s="24" t="s">
        <v>420</v>
      </c>
      <c r="C60" s="24" t="s">
        <v>82</v>
      </c>
      <c r="D60" s="24"/>
      <c r="E60" s="24"/>
    </row>
    <row r="61" spans="1:5" x14ac:dyDescent="0.3">
      <c r="A61" s="24">
        <v>60</v>
      </c>
      <c r="B61" s="24" t="s">
        <v>421</v>
      </c>
      <c r="C61" s="24" t="s">
        <v>81</v>
      </c>
      <c r="D61" s="24"/>
      <c r="E61" s="24"/>
    </row>
    <row r="62" spans="1:5" x14ac:dyDescent="0.3">
      <c r="A62" s="24">
        <v>61</v>
      </c>
      <c r="B62" s="24" t="s">
        <v>388</v>
      </c>
      <c r="C62" s="24" t="s">
        <v>82</v>
      </c>
      <c r="D62" s="24"/>
      <c r="E62" s="24"/>
    </row>
    <row r="63" spans="1:5" x14ac:dyDescent="0.3">
      <c r="A63" s="24">
        <v>62</v>
      </c>
      <c r="B63" s="24" t="s">
        <v>130</v>
      </c>
      <c r="C63" s="24" t="s">
        <v>79</v>
      </c>
      <c r="D63" s="24"/>
      <c r="E63" s="24"/>
    </row>
    <row r="64" spans="1:5" x14ac:dyDescent="0.3">
      <c r="A64" s="24">
        <v>63</v>
      </c>
      <c r="B64" s="24" t="s">
        <v>422</v>
      </c>
      <c r="C64" s="24" t="s">
        <v>80</v>
      </c>
      <c r="D64" s="24"/>
      <c r="E64" s="24"/>
    </row>
    <row r="65" spans="1:5" x14ac:dyDescent="0.3">
      <c r="A65" s="24">
        <v>64</v>
      </c>
      <c r="B65" s="24" t="s">
        <v>423</v>
      </c>
      <c r="C65" s="24" t="s">
        <v>80</v>
      </c>
      <c r="D65" s="24"/>
      <c r="E65" s="24"/>
    </row>
    <row r="66" spans="1:5" x14ac:dyDescent="0.3">
      <c r="A66" s="24">
        <v>65</v>
      </c>
      <c r="B66" s="24" t="s">
        <v>424</v>
      </c>
      <c r="C66" s="24" t="s">
        <v>79</v>
      </c>
      <c r="D66" s="24"/>
      <c r="E66" s="24"/>
    </row>
    <row r="67" spans="1:5" x14ac:dyDescent="0.3">
      <c r="A67" s="24">
        <v>66</v>
      </c>
      <c r="B67" s="24" t="s">
        <v>425</v>
      </c>
      <c r="C67" s="24" t="s">
        <v>77</v>
      </c>
      <c r="D67" s="24"/>
      <c r="E67" s="24"/>
    </row>
    <row r="68" spans="1:5" x14ac:dyDescent="0.3">
      <c r="A68" s="24">
        <v>67</v>
      </c>
      <c r="B68" s="24" t="s">
        <v>426</v>
      </c>
      <c r="C68" s="24" t="s">
        <v>82</v>
      </c>
      <c r="D68" s="24"/>
      <c r="E68" s="24"/>
    </row>
    <row r="69" spans="1:5" x14ac:dyDescent="0.3">
      <c r="A69" s="24">
        <v>68</v>
      </c>
      <c r="B69" s="24" t="s">
        <v>52</v>
      </c>
      <c r="C69" s="24" t="s">
        <v>81</v>
      </c>
      <c r="D69" s="24"/>
      <c r="E69" s="24"/>
    </row>
    <row r="70" spans="1:5" x14ac:dyDescent="0.3">
      <c r="A70" s="24">
        <v>69</v>
      </c>
      <c r="B70" s="24" t="s">
        <v>427</v>
      </c>
      <c r="C70" s="24" t="s">
        <v>252</v>
      </c>
      <c r="D70" s="24"/>
      <c r="E70" s="24"/>
    </row>
    <row r="71" spans="1:5" x14ac:dyDescent="0.3">
      <c r="A71" s="24">
        <v>70</v>
      </c>
      <c r="B71" s="24" t="s">
        <v>428</v>
      </c>
      <c r="C71" s="24" t="s">
        <v>77</v>
      </c>
      <c r="D71" s="24"/>
      <c r="E71" s="24"/>
    </row>
    <row r="72" spans="1:5" x14ac:dyDescent="0.3">
      <c r="A72" s="24">
        <v>71</v>
      </c>
      <c r="B72" s="24" t="s">
        <v>429</v>
      </c>
      <c r="C72" s="24" t="s">
        <v>82</v>
      </c>
      <c r="D72" s="24"/>
      <c r="E72" s="24"/>
    </row>
    <row r="73" spans="1:5" x14ac:dyDescent="0.3">
      <c r="A73" s="24">
        <v>72</v>
      </c>
      <c r="B73" s="24" t="s">
        <v>151</v>
      </c>
      <c r="C73" s="24" t="s">
        <v>252</v>
      </c>
      <c r="D73" s="24"/>
      <c r="E73" s="24"/>
    </row>
    <row r="74" spans="1:5" x14ac:dyDescent="0.3">
      <c r="A74" s="24">
        <v>73</v>
      </c>
      <c r="B74" s="24" t="s">
        <v>183</v>
      </c>
      <c r="C74" s="24" t="s">
        <v>79</v>
      </c>
      <c r="D74" s="24"/>
      <c r="E74" s="24"/>
    </row>
    <row r="75" spans="1:5" x14ac:dyDescent="0.3">
      <c r="A75" s="24">
        <v>74</v>
      </c>
      <c r="B75" s="24" t="s">
        <v>430</v>
      </c>
      <c r="C75" s="24" t="s">
        <v>79</v>
      </c>
      <c r="D75" s="24"/>
      <c r="E75" s="24"/>
    </row>
    <row r="76" spans="1:5" x14ac:dyDescent="0.3">
      <c r="A76" s="24">
        <v>75</v>
      </c>
      <c r="B76" s="24" t="s">
        <v>431</v>
      </c>
      <c r="C76" s="24" t="s">
        <v>82</v>
      </c>
      <c r="D76" s="24"/>
      <c r="E76" s="24"/>
    </row>
    <row r="77" spans="1:5" x14ac:dyDescent="0.3">
      <c r="A77" s="24">
        <v>76</v>
      </c>
      <c r="B77" s="24" t="s">
        <v>124</v>
      </c>
      <c r="C77" s="24" t="s">
        <v>79</v>
      </c>
      <c r="D77" s="24"/>
      <c r="E77" s="24"/>
    </row>
    <row r="78" spans="1:5" x14ac:dyDescent="0.3">
      <c r="A78" s="24">
        <v>77</v>
      </c>
      <c r="B78" s="24" t="s">
        <v>21</v>
      </c>
      <c r="C78" s="24" t="s">
        <v>252</v>
      </c>
      <c r="D78" s="24"/>
      <c r="E78" s="24"/>
    </row>
    <row r="79" spans="1:5" x14ac:dyDescent="0.3">
      <c r="A79" s="24">
        <v>78</v>
      </c>
      <c r="B79" s="24" t="s">
        <v>432</v>
      </c>
      <c r="C79" s="24" t="s">
        <v>82</v>
      </c>
      <c r="D79" s="24"/>
      <c r="E79" s="24"/>
    </row>
    <row r="80" spans="1:5" x14ac:dyDescent="0.3">
      <c r="A80" s="24">
        <v>79</v>
      </c>
      <c r="B80" s="24" t="s">
        <v>433</v>
      </c>
      <c r="C80" s="24" t="s">
        <v>81</v>
      </c>
      <c r="D80" s="24"/>
      <c r="E80" s="24"/>
    </row>
    <row r="81" spans="1:5" x14ac:dyDescent="0.3">
      <c r="A81" s="24">
        <v>80</v>
      </c>
      <c r="B81" s="24" t="s">
        <v>434</v>
      </c>
      <c r="C81" s="24" t="s">
        <v>80</v>
      </c>
      <c r="D81" s="24"/>
      <c r="E81" s="24"/>
    </row>
    <row r="82" spans="1:5" x14ac:dyDescent="0.3">
      <c r="A82" s="24">
        <v>81</v>
      </c>
      <c r="B82" s="24" t="s">
        <v>97</v>
      </c>
      <c r="C82" s="24" t="s">
        <v>76</v>
      </c>
      <c r="D82" s="24"/>
      <c r="E82" s="24"/>
    </row>
    <row r="83" spans="1:5" x14ac:dyDescent="0.3">
      <c r="A83" s="24">
        <v>82</v>
      </c>
      <c r="B83" s="24" t="s">
        <v>149</v>
      </c>
      <c r="C83" s="24" t="s">
        <v>76</v>
      </c>
      <c r="D83" s="24"/>
      <c r="E83" s="24"/>
    </row>
    <row r="84" spans="1:5" x14ac:dyDescent="0.3">
      <c r="A84" s="24">
        <v>83</v>
      </c>
      <c r="B84" s="24" t="s">
        <v>435</v>
      </c>
      <c r="C84" s="24" t="s">
        <v>81</v>
      </c>
      <c r="D84" s="24"/>
      <c r="E84" s="24"/>
    </row>
    <row r="85" spans="1:5" x14ac:dyDescent="0.3">
      <c r="A85" s="24">
        <v>84</v>
      </c>
      <c r="B85" s="24" t="s">
        <v>185</v>
      </c>
      <c r="C85" s="24" t="s">
        <v>76</v>
      </c>
      <c r="D85" s="24"/>
      <c r="E85" s="24"/>
    </row>
    <row r="86" spans="1:5" x14ac:dyDescent="0.3">
      <c r="A86" s="24">
        <v>85</v>
      </c>
      <c r="B86" s="24" t="s">
        <v>436</v>
      </c>
      <c r="C86" s="24" t="s">
        <v>79</v>
      </c>
      <c r="D86" s="24"/>
      <c r="E86" s="24"/>
    </row>
    <row r="87" spans="1:5" x14ac:dyDescent="0.3">
      <c r="A87" s="24">
        <v>86</v>
      </c>
      <c r="B87" s="24" t="s">
        <v>437</v>
      </c>
      <c r="C87" s="24" t="s">
        <v>79</v>
      </c>
      <c r="D87" s="24"/>
      <c r="E87" s="24"/>
    </row>
    <row r="88" spans="1:5" x14ac:dyDescent="0.3">
      <c r="A88" s="24">
        <v>87</v>
      </c>
      <c r="B88" s="24" t="s">
        <v>438</v>
      </c>
      <c r="C88" s="24" t="s">
        <v>77</v>
      </c>
      <c r="D88" s="24"/>
      <c r="E88" s="24"/>
    </row>
    <row r="89" spans="1:5" x14ac:dyDescent="0.3">
      <c r="A89" s="24">
        <v>88</v>
      </c>
      <c r="B89" s="24" t="s">
        <v>439</v>
      </c>
      <c r="C89" s="24" t="s">
        <v>82</v>
      </c>
      <c r="D89" s="24"/>
      <c r="E89" s="24"/>
    </row>
    <row r="90" spans="1:5" x14ac:dyDescent="0.3">
      <c r="A90" s="24">
        <v>89</v>
      </c>
      <c r="B90" s="24" t="s">
        <v>440</v>
      </c>
      <c r="C90" s="24" t="s">
        <v>77</v>
      </c>
      <c r="D90" s="24"/>
      <c r="E90" s="24"/>
    </row>
    <row r="91" spans="1:5" x14ac:dyDescent="0.3">
      <c r="A91" s="24">
        <v>90</v>
      </c>
      <c r="B91" s="24" t="s">
        <v>441</v>
      </c>
      <c r="C91" s="24" t="s">
        <v>76</v>
      </c>
      <c r="D91" s="24"/>
      <c r="E91" s="24"/>
    </row>
    <row r="92" spans="1:5" x14ac:dyDescent="0.3">
      <c r="A92" s="24">
        <v>91</v>
      </c>
      <c r="B92" s="24" t="s">
        <v>189</v>
      </c>
      <c r="C92" s="24" t="s">
        <v>77</v>
      </c>
      <c r="D92" s="24"/>
      <c r="E92" s="24"/>
    </row>
    <row r="93" spans="1:5" x14ac:dyDescent="0.3">
      <c r="A93" s="24">
        <v>92</v>
      </c>
      <c r="B93" s="24" t="s">
        <v>442</v>
      </c>
      <c r="C93" s="24" t="s">
        <v>82</v>
      </c>
      <c r="D93" s="24"/>
      <c r="E93" s="24"/>
    </row>
    <row r="94" spans="1:5" x14ac:dyDescent="0.3">
      <c r="A94" s="24">
        <v>93</v>
      </c>
      <c r="B94" s="24" t="s">
        <v>443</v>
      </c>
      <c r="C94" s="24" t="s">
        <v>252</v>
      </c>
      <c r="D94" s="24"/>
      <c r="E94" s="24"/>
    </row>
    <row r="95" spans="1:5" x14ac:dyDescent="0.3">
      <c r="A95" s="24">
        <v>94</v>
      </c>
      <c r="B95" s="24" t="s">
        <v>307</v>
      </c>
      <c r="C95" s="24" t="s">
        <v>80</v>
      </c>
      <c r="D95" s="24"/>
      <c r="E95" s="24"/>
    </row>
    <row r="96" spans="1:5" x14ac:dyDescent="0.3">
      <c r="A96" s="24">
        <v>95</v>
      </c>
      <c r="B96" s="24" t="s">
        <v>541</v>
      </c>
      <c r="C96" s="24" t="s">
        <v>79</v>
      </c>
      <c r="D96" s="24"/>
      <c r="E96" s="24"/>
    </row>
    <row r="97" spans="1:5" x14ac:dyDescent="0.3">
      <c r="A97" s="24">
        <v>96</v>
      </c>
      <c r="B97" s="24" t="s">
        <v>315</v>
      </c>
      <c r="C97" s="24" t="s">
        <v>77</v>
      </c>
      <c r="D97" s="24"/>
      <c r="E97" s="24"/>
    </row>
    <row r="98" spans="1:5" x14ac:dyDescent="0.3">
      <c r="A98" s="24">
        <v>97</v>
      </c>
      <c r="B98" s="24" t="s">
        <v>445</v>
      </c>
      <c r="C98" s="24" t="s">
        <v>80</v>
      </c>
      <c r="D98" s="24"/>
      <c r="E98" s="24"/>
    </row>
    <row r="99" spans="1:5" x14ac:dyDescent="0.3">
      <c r="A99" s="24">
        <v>98</v>
      </c>
      <c r="B99" s="24" t="s">
        <v>446</v>
      </c>
      <c r="C99" s="24" t="s">
        <v>79</v>
      </c>
      <c r="D99" s="24"/>
      <c r="E99" s="24"/>
    </row>
    <row r="100" spans="1:5" x14ac:dyDescent="0.3">
      <c r="A100" s="24">
        <v>99</v>
      </c>
      <c r="B100" s="24" t="s">
        <v>447</v>
      </c>
      <c r="C100" s="24" t="s">
        <v>79</v>
      </c>
      <c r="D100" s="24"/>
      <c r="E100" s="24"/>
    </row>
    <row r="101" spans="1:5" x14ac:dyDescent="0.3">
      <c r="A101" s="24">
        <v>100</v>
      </c>
      <c r="B101" s="24" t="s">
        <v>448</v>
      </c>
      <c r="C101" s="24" t="s">
        <v>80</v>
      </c>
      <c r="D101" s="24"/>
      <c r="E101" s="24"/>
    </row>
    <row r="102" spans="1:5" x14ac:dyDescent="0.3">
      <c r="A102" s="24">
        <v>101</v>
      </c>
      <c r="B102" s="24" t="s">
        <v>68</v>
      </c>
      <c r="C102" s="24" t="s">
        <v>79</v>
      </c>
      <c r="D102" s="24"/>
      <c r="E102" s="24"/>
    </row>
    <row r="103" spans="1:5" x14ac:dyDescent="0.3">
      <c r="A103" s="24">
        <v>102</v>
      </c>
      <c r="B103" s="24" t="s">
        <v>449</v>
      </c>
      <c r="C103" s="24" t="s">
        <v>79</v>
      </c>
      <c r="D103" s="24"/>
      <c r="E103" s="24"/>
    </row>
    <row r="104" spans="1:5" x14ac:dyDescent="0.3">
      <c r="A104" s="24">
        <v>103</v>
      </c>
      <c r="B104" s="24" t="s">
        <v>194</v>
      </c>
      <c r="C104" s="24" t="s">
        <v>77</v>
      </c>
      <c r="D104" s="24"/>
      <c r="E104" s="24"/>
    </row>
    <row r="105" spans="1:5" x14ac:dyDescent="0.3">
      <c r="A105" s="24">
        <v>104</v>
      </c>
      <c r="B105" s="24" t="s">
        <v>153</v>
      </c>
      <c r="C105" s="24" t="s">
        <v>79</v>
      </c>
      <c r="D105" s="24"/>
      <c r="E105" s="24"/>
    </row>
    <row r="106" spans="1:5" x14ac:dyDescent="0.3">
      <c r="A106" s="24">
        <v>105</v>
      </c>
      <c r="B106" s="24" t="s">
        <v>450</v>
      </c>
      <c r="C106" s="24" t="s">
        <v>79</v>
      </c>
      <c r="D106" s="24"/>
      <c r="E106" s="24"/>
    </row>
    <row r="107" spans="1:5" x14ac:dyDescent="0.3">
      <c r="A107" s="24">
        <v>106</v>
      </c>
      <c r="B107" s="24" t="s">
        <v>13</v>
      </c>
      <c r="C107" s="24" t="s">
        <v>79</v>
      </c>
      <c r="D107" s="24"/>
      <c r="E107" s="24"/>
    </row>
    <row r="108" spans="1:5" x14ac:dyDescent="0.3">
      <c r="A108" s="24">
        <v>107</v>
      </c>
      <c r="B108" s="24" t="s">
        <v>280</v>
      </c>
      <c r="C108" s="24" t="s">
        <v>77</v>
      </c>
      <c r="D108" s="24"/>
      <c r="E108" s="24"/>
    </row>
    <row r="109" spans="1:5" x14ac:dyDescent="0.3">
      <c r="A109" s="24">
        <v>108</v>
      </c>
      <c r="B109" s="24" t="s">
        <v>196</v>
      </c>
      <c r="C109" s="24" t="s">
        <v>76</v>
      </c>
      <c r="D109" s="24"/>
      <c r="E109" s="24"/>
    </row>
    <row r="110" spans="1:5" x14ac:dyDescent="0.3">
      <c r="A110" s="24">
        <v>109</v>
      </c>
      <c r="B110" s="24" t="s">
        <v>451</v>
      </c>
      <c r="C110" s="24" t="s">
        <v>252</v>
      </c>
      <c r="D110" s="24"/>
      <c r="E110" s="24"/>
    </row>
    <row r="111" spans="1:5" x14ac:dyDescent="0.3">
      <c r="A111" s="24">
        <v>110</v>
      </c>
      <c r="B111" s="24" t="s">
        <v>452</v>
      </c>
      <c r="C111" s="24" t="s">
        <v>82</v>
      </c>
      <c r="D111" s="24"/>
      <c r="E111" s="24"/>
    </row>
    <row r="112" spans="1:5" x14ac:dyDescent="0.3">
      <c r="A112" s="24">
        <v>111</v>
      </c>
      <c r="B112" s="24" t="s">
        <v>34</v>
      </c>
      <c r="C112" s="24" t="s">
        <v>77</v>
      </c>
      <c r="D112" s="24"/>
      <c r="E112" s="24"/>
    </row>
    <row r="113" spans="1:5" x14ac:dyDescent="0.3">
      <c r="A113" s="24">
        <v>112</v>
      </c>
      <c r="B113" s="24" t="s">
        <v>152</v>
      </c>
      <c r="C113" s="24" t="s">
        <v>81</v>
      </c>
      <c r="D113" s="24"/>
      <c r="E113" s="24"/>
    </row>
    <row r="114" spans="1:5" x14ac:dyDescent="0.3">
      <c r="A114" s="24">
        <v>113</v>
      </c>
      <c r="B114" s="24" t="s">
        <v>14</v>
      </c>
      <c r="C114" s="24" t="s">
        <v>76</v>
      </c>
      <c r="D114" s="24"/>
      <c r="E114" s="24"/>
    </row>
    <row r="115" spans="1:5" x14ac:dyDescent="0.3">
      <c r="A115" s="24">
        <v>114</v>
      </c>
      <c r="B115" s="24" t="s">
        <v>453</v>
      </c>
      <c r="C115" s="24" t="s">
        <v>79</v>
      </c>
      <c r="D115" s="24"/>
      <c r="E115" s="24"/>
    </row>
    <row r="116" spans="1:5" x14ac:dyDescent="0.3">
      <c r="A116" s="24">
        <v>115</v>
      </c>
      <c r="B116" s="24" t="s">
        <v>122</v>
      </c>
      <c r="C116" s="24" t="s">
        <v>81</v>
      </c>
      <c r="D116" s="24"/>
      <c r="E116" s="24"/>
    </row>
    <row r="117" spans="1:5" x14ac:dyDescent="0.3">
      <c r="A117" s="24">
        <v>116</v>
      </c>
      <c r="B117" s="24" t="s">
        <v>454</v>
      </c>
      <c r="C117" s="24" t="s">
        <v>77</v>
      </c>
      <c r="D117" s="24"/>
      <c r="E117" s="24"/>
    </row>
    <row r="118" spans="1:5" x14ac:dyDescent="0.3">
      <c r="A118" s="24">
        <v>117</v>
      </c>
      <c r="B118" s="24" t="s">
        <v>109</v>
      </c>
      <c r="C118" s="24" t="s">
        <v>79</v>
      </c>
      <c r="D118" s="24"/>
      <c r="E118" s="24"/>
    </row>
    <row r="119" spans="1:5" x14ac:dyDescent="0.3">
      <c r="A119" s="24">
        <v>118</v>
      </c>
      <c r="B119" s="24" t="s">
        <v>455</v>
      </c>
      <c r="C119" s="24" t="s">
        <v>79</v>
      </c>
      <c r="D119" s="24"/>
      <c r="E119" s="24"/>
    </row>
    <row r="120" spans="1:5" x14ac:dyDescent="0.3">
      <c r="A120" s="24">
        <v>119</v>
      </c>
      <c r="B120" s="24" t="s">
        <v>115</v>
      </c>
      <c r="C120" s="24" t="s">
        <v>79</v>
      </c>
      <c r="D120" s="24"/>
      <c r="E120" s="24"/>
    </row>
    <row r="121" spans="1:5" x14ac:dyDescent="0.3">
      <c r="A121" s="24">
        <v>120</v>
      </c>
      <c r="B121" s="24" t="s">
        <v>147</v>
      </c>
      <c r="C121" s="24" t="s">
        <v>80</v>
      </c>
      <c r="D121" s="24"/>
      <c r="E121" s="24"/>
    </row>
    <row r="122" spans="1:5" x14ac:dyDescent="0.3">
      <c r="A122" s="24">
        <v>121</v>
      </c>
      <c r="B122" s="24" t="s">
        <v>456</v>
      </c>
      <c r="C122" s="24" t="s">
        <v>79</v>
      </c>
      <c r="D122" s="24"/>
      <c r="E122" s="24"/>
    </row>
    <row r="123" spans="1:5" x14ac:dyDescent="0.3">
      <c r="A123" s="24">
        <v>122</v>
      </c>
      <c r="B123" s="24" t="s">
        <v>457</v>
      </c>
      <c r="C123" s="24" t="s">
        <v>76</v>
      </c>
      <c r="D123" s="24"/>
      <c r="E123" s="24"/>
    </row>
    <row r="124" spans="1:5" x14ac:dyDescent="0.3">
      <c r="A124" s="24">
        <v>123</v>
      </c>
      <c r="B124" s="24" t="s">
        <v>458</v>
      </c>
      <c r="C124" s="24" t="s">
        <v>79</v>
      </c>
      <c r="D124" s="24"/>
      <c r="E124" s="24"/>
    </row>
    <row r="125" spans="1:5" x14ac:dyDescent="0.3">
      <c r="A125" s="24">
        <v>124</v>
      </c>
      <c r="B125" s="24" t="s">
        <v>459</v>
      </c>
      <c r="C125" s="24" t="s">
        <v>82</v>
      </c>
      <c r="D125" s="24"/>
      <c r="E125" s="24"/>
    </row>
    <row r="126" spans="1:5" x14ac:dyDescent="0.3">
      <c r="A126" s="24">
        <v>125</v>
      </c>
      <c r="B126" s="24" t="s">
        <v>460</v>
      </c>
      <c r="C126" s="24" t="s">
        <v>82</v>
      </c>
      <c r="D126" s="24"/>
      <c r="E126" s="24"/>
    </row>
    <row r="127" spans="1:5" x14ac:dyDescent="0.3">
      <c r="A127" s="24">
        <v>126</v>
      </c>
      <c r="B127" s="24" t="s">
        <v>461</v>
      </c>
      <c r="C127" s="24" t="s">
        <v>80</v>
      </c>
      <c r="D127" s="24"/>
      <c r="E127" s="24"/>
    </row>
    <row r="128" spans="1:5" x14ac:dyDescent="0.3">
      <c r="A128" s="24">
        <v>127</v>
      </c>
      <c r="B128" s="24" t="s">
        <v>462</v>
      </c>
      <c r="C128" s="24" t="s">
        <v>79</v>
      </c>
      <c r="D128" s="24"/>
      <c r="E128" s="24"/>
    </row>
    <row r="129" spans="1:5" x14ac:dyDescent="0.3">
      <c r="A129" s="24">
        <v>128</v>
      </c>
      <c r="B129" s="24" t="s">
        <v>54</v>
      </c>
      <c r="C129" s="24" t="s">
        <v>76</v>
      </c>
      <c r="D129" s="24"/>
      <c r="E129" s="24"/>
    </row>
    <row r="130" spans="1:5" x14ac:dyDescent="0.3">
      <c r="A130" s="24">
        <v>129</v>
      </c>
      <c r="B130" s="24" t="s">
        <v>203</v>
      </c>
      <c r="C130" s="24" t="s">
        <v>79</v>
      </c>
      <c r="D130" s="24"/>
      <c r="E130" s="24"/>
    </row>
    <row r="131" spans="1:5" x14ac:dyDescent="0.3">
      <c r="A131" s="24">
        <v>130</v>
      </c>
      <c r="B131" s="24" t="s">
        <v>204</v>
      </c>
      <c r="C131" s="24" t="s">
        <v>79</v>
      </c>
      <c r="D131" s="24"/>
      <c r="E131" s="24"/>
    </row>
    <row r="132" spans="1:5" x14ac:dyDescent="0.3">
      <c r="A132" s="24">
        <v>131</v>
      </c>
      <c r="B132" s="24" t="s">
        <v>463</v>
      </c>
      <c r="C132" s="24" t="s">
        <v>81</v>
      </c>
      <c r="D132" s="24"/>
      <c r="E132" s="24"/>
    </row>
    <row r="133" spans="1:5" x14ac:dyDescent="0.3">
      <c r="A133" s="24">
        <v>132</v>
      </c>
      <c r="B133" s="24" t="s">
        <v>37</v>
      </c>
      <c r="C133" s="24" t="s">
        <v>80</v>
      </c>
      <c r="D133" s="24"/>
      <c r="E133" s="24"/>
    </row>
    <row r="134" spans="1:5" x14ac:dyDescent="0.3">
      <c r="A134" s="24">
        <v>133</v>
      </c>
      <c r="B134" s="24" t="s">
        <v>464</v>
      </c>
      <c r="C134" s="24" t="s">
        <v>252</v>
      </c>
      <c r="D134" s="24"/>
      <c r="E134" s="24"/>
    </row>
    <row r="135" spans="1:5" x14ac:dyDescent="0.3">
      <c r="A135" s="24">
        <v>134</v>
      </c>
      <c r="B135" s="24" t="s">
        <v>11</v>
      </c>
      <c r="C135" s="24" t="s">
        <v>76</v>
      </c>
      <c r="D135" s="24"/>
      <c r="E135" s="24"/>
    </row>
    <row r="136" spans="1:5" x14ac:dyDescent="0.3">
      <c r="A136" s="24">
        <v>135</v>
      </c>
      <c r="B136" s="24" t="s">
        <v>542</v>
      </c>
      <c r="C136" s="24" t="s">
        <v>252</v>
      </c>
      <c r="D136" s="24"/>
      <c r="E136" s="24"/>
    </row>
    <row r="137" spans="1:5" x14ac:dyDescent="0.3">
      <c r="A137" s="24">
        <v>136</v>
      </c>
      <c r="B137" s="24" t="s">
        <v>206</v>
      </c>
      <c r="C137" s="24" t="s">
        <v>81</v>
      </c>
      <c r="D137" s="24"/>
      <c r="E137" s="24"/>
    </row>
    <row r="138" spans="1:5" x14ac:dyDescent="0.3">
      <c r="A138" s="24">
        <v>137</v>
      </c>
      <c r="B138" s="24" t="s">
        <v>466</v>
      </c>
      <c r="C138" s="24" t="s">
        <v>77</v>
      </c>
      <c r="D138" s="24"/>
      <c r="E138" s="24"/>
    </row>
    <row r="139" spans="1:5" x14ac:dyDescent="0.3">
      <c r="A139" s="24">
        <v>138</v>
      </c>
      <c r="B139" s="24" t="s">
        <v>467</v>
      </c>
      <c r="C139" s="24" t="s">
        <v>82</v>
      </c>
      <c r="D139" s="24"/>
      <c r="E139" s="24"/>
    </row>
    <row r="140" spans="1:5" x14ac:dyDescent="0.3">
      <c r="A140" s="24">
        <v>139</v>
      </c>
      <c r="B140" s="24" t="s">
        <v>468</v>
      </c>
      <c r="C140" s="24" t="s">
        <v>80</v>
      </c>
      <c r="D140" s="24"/>
      <c r="E140" s="24"/>
    </row>
    <row r="141" spans="1:5" x14ac:dyDescent="0.3">
      <c r="A141" s="24">
        <v>140</v>
      </c>
      <c r="B141" s="24" t="s">
        <v>469</v>
      </c>
      <c r="C141" s="24" t="s">
        <v>79</v>
      </c>
      <c r="D141" s="24"/>
      <c r="E141" s="24"/>
    </row>
    <row r="142" spans="1:5" x14ac:dyDescent="0.3">
      <c r="A142" s="24">
        <v>141</v>
      </c>
      <c r="B142" s="24" t="s">
        <v>470</v>
      </c>
      <c r="C142" s="24" t="s">
        <v>79</v>
      </c>
      <c r="D142" s="24"/>
      <c r="E142" s="24"/>
    </row>
    <row r="143" spans="1:5" x14ac:dyDescent="0.3">
      <c r="A143" s="24">
        <v>142</v>
      </c>
      <c r="B143" s="24" t="s">
        <v>471</v>
      </c>
      <c r="C143" s="24" t="s">
        <v>79</v>
      </c>
      <c r="D143" s="24"/>
      <c r="E143" s="24"/>
    </row>
    <row r="144" spans="1:5" x14ac:dyDescent="0.3">
      <c r="A144" s="24">
        <v>143</v>
      </c>
      <c r="B144" s="24" t="s">
        <v>472</v>
      </c>
      <c r="C144" s="24" t="s">
        <v>79</v>
      </c>
      <c r="D144" s="24"/>
      <c r="E144" s="24"/>
    </row>
    <row r="145" spans="1:5" x14ac:dyDescent="0.3">
      <c r="A145" s="24">
        <v>144</v>
      </c>
      <c r="B145" s="24" t="s">
        <v>94</v>
      </c>
      <c r="C145" s="24" t="s">
        <v>76</v>
      </c>
      <c r="D145" s="24"/>
      <c r="E145" s="24"/>
    </row>
    <row r="146" spans="1:5" x14ac:dyDescent="0.3">
      <c r="A146" s="24">
        <v>145</v>
      </c>
      <c r="B146" s="24" t="s">
        <v>473</v>
      </c>
      <c r="C146" s="24" t="s">
        <v>77</v>
      </c>
      <c r="D146" s="24"/>
      <c r="E146" s="24"/>
    </row>
    <row r="147" spans="1:5" x14ac:dyDescent="0.3">
      <c r="A147" s="24">
        <v>146</v>
      </c>
      <c r="B147" s="24" t="s">
        <v>148</v>
      </c>
      <c r="C147" s="24" t="s">
        <v>76</v>
      </c>
      <c r="D147" s="24"/>
      <c r="E147" s="24"/>
    </row>
    <row r="148" spans="1:5" x14ac:dyDescent="0.3">
      <c r="A148" s="24">
        <v>147</v>
      </c>
      <c r="B148" s="24" t="s">
        <v>31</v>
      </c>
      <c r="C148" s="24" t="s">
        <v>79</v>
      </c>
      <c r="D148" s="24"/>
      <c r="E148" s="24"/>
    </row>
    <row r="149" spans="1:5" x14ac:dyDescent="0.3">
      <c r="A149" s="24">
        <v>148</v>
      </c>
      <c r="B149" s="24" t="s">
        <v>474</v>
      </c>
      <c r="C149" s="24" t="s">
        <v>79</v>
      </c>
      <c r="D149" s="24"/>
      <c r="E149" s="24"/>
    </row>
    <row r="150" spans="1:5" x14ac:dyDescent="0.3">
      <c r="A150" s="24">
        <v>149</v>
      </c>
      <c r="B150" s="24" t="s">
        <v>42</v>
      </c>
      <c r="C150" s="24" t="s">
        <v>82</v>
      </c>
      <c r="D150" s="24"/>
      <c r="E150" s="24"/>
    </row>
    <row r="151" spans="1:5" x14ac:dyDescent="0.3">
      <c r="A151" s="24">
        <v>150</v>
      </c>
      <c r="B151" s="24" t="s">
        <v>475</v>
      </c>
      <c r="C151" s="24" t="s">
        <v>80</v>
      </c>
      <c r="D151" s="24"/>
      <c r="E151" s="24"/>
    </row>
    <row r="152" spans="1:5" x14ac:dyDescent="0.3">
      <c r="A152" s="24">
        <v>151</v>
      </c>
      <c r="B152" s="24" t="s">
        <v>44</v>
      </c>
      <c r="C152" s="24" t="s">
        <v>79</v>
      </c>
      <c r="D152" s="24"/>
      <c r="E152" s="24"/>
    </row>
    <row r="153" spans="1:5" x14ac:dyDescent="0.3">
      <c r="A153" s="24">
        <v>152</v>
      </c>
      <c r="B153" s="24" t="s">
        <v>476</v>
      </c>
      <c r="C153" s="24" t="s">
        <v>252</v>
      </c>
      <c r="D153" s="24"/>
      <c r="E153" s="24"/>
    </row>
    <row r="154" spans="1:5" x14ac:dyDescent="0.3">
      <c r="A154" s="24">
        <v>153</v>
      </c>
      <c r="B154" s="24" t="s">
        <v>110</v>
      </c>
      <c r="C154" s="24" t="s">
        <v>76</v>
      </c>
      <c r="D154" s="24"/>
      <c r="E154" s="24"/>
    </row>
    <row r="155" spans="1:5" x14ac:dyDescent="0.3">
      <c r="A155" s="24">
        <v>154</v>
      </c>
      <c r="B155" s="24" t="s">
        <v>543</v>
      </c>
      <c r="C155" s="24" t="s">
        <v>79</v>
      </c>
      <c r="D155" s="24"/>
      <c r="E155" s="24"/>
    </row>
    <row r="156" spans="1:5" x14ac:dyDescent="0.3">
      <c r="A156" s="24">
        <v>155</v>
      </c>
      <c r="B156" s="24" t="s">
        <v>544</v>
      </c>
      <c r="C156" s="24" t="s">
        <v>76</v>
      </c>
      <c r="D156" s="24"/>
      <c r="E156" s="24"/>
    </row>
    <row r="157" spans="1:5" x14ac:dyDescent="0.3">
      <c r="A157" s="24">
        <v>156</v>
      </c>
      <c r="B157" s="24" t="s">
        <v>210</v>
      </c>
      <c r="C157" s="24" t="s">
        <v>79</v>
      </c>
      <c r="D157" s="24"/>
      <c r="E157" s="24"/>
    </row>
    <row r="158" spans="1:5" x14ac:dyDescent="0.3">
      <c r="A158" s="24">
        <v>157</v>
      </c>
      <c r="B158" s="24" t="s">
        <v>15</v>
      </c>
      <c r="C158" s="24" t="s">
        <v>76</v>
      </c>
      <c r="D158" s="24"/>
      <c r="E158" s="24"/>
    </row>
    <row r="159" spans="1:5" x14ac:dyDescent="0.3">
      <c r="A159" s="24">
        <v>158</v>
      </c>
      <c r="B159" s="24" t="s">
        <v>92</v>
      </c>
      <c r="C159" s="24" t="s">
        <v>80</v>
      </c>
      <c r="D159" s="24"/>
      <c r="E159" s="24"/>
    </row>
    <row r="160" spans="1:5" x14ac:dyDescent="0.3">
      <c r="A160" s="24">
        <v>159</v>
      </c>
      <c r="B160" s="24" t="s">
        <v>50</v>
      </c>
      <c r="C160" s="24" t="s">
        <v>79</v>
      </c>
      <c r="D160" s="24"/>
      <c r="E160" s="24"/>
    </row>
    <row r="161" spans="1:5" x14ac:dyDescent="0.3">
      <c r="A161" s="24">
        <v>160</v>
      </c>
      <c r="B161" s="24" t="s">
        <v>211</v>
      </c>
      <c r="C161" s="24" t="s">
        <v>77</v>
      </c>
      <c r="D161" s="24"/>
      <c r="E161" s="24"/>
    </row>
    <row r="162" spans="1:5" x14ac:dyDescent="0.3">
      <c r="A162" s="24">
        <v>161</v>
      </c>
      <c r="B162" s="24" t="s">
        <v>479</v>
      </c>
      <c r="C162" s="24" t="s">
        <v>79</v>
      </c>
      <c r="D162" s="24"/>
      <c r="E162" s="24"/>
    </row>
    <row r="163" spans="1:5" x14ac:dyDescent="0.3">
      <c r="A163" s="24">
        <v>162</v>
      </c>
      <c r="B163" s="24" t="s">
        <v>40</v>
      </c>
      <c r="C163" s="24" t="s">
        <v>79</v>
      </c>
      <c r="D163" s="24"/>
      <c r="E163" s="24"/>
    </row>
    <row r="164" spans="1:5" x14ac:dyDescent="0.3">
      <c r="A164" s="24">
        <v>163</v>
      </c>
      <c r="B164" s="24" t="s">
        <v>480</v>
      </c>
      <c r="C164" s="24" t="s">
        <v>79</v>
      </c>
      <c r="D164" s="24"/>
      <c r="E164" s="24"/>
    </row>
    <row r="165" spans="1:5" x14ac:dyDescent="0.3">
      <c r="A165" s="24">
        <v>164</v>
      </c>
      <c r="B165" s="24" t="s">
        <v>330</v>
      </c>
      <c r="C165" s="24" t="s">
        <v>81</v>
      </c>
      <c r="D165" s="24"/>
      <c r="E165" s="24"/>
    </row>
    <row r="166" spans="1:5" x14ac:dyDescent="0.3">
      <c r="A166" s="24">
        <v>165</v>
      </c>
      <c r="B166" s="24" t="s">
        <v>481</v>
      </c>
      <c r="C166" s="24" t="s">
        <v>79</v>
      </c>
      <c r="D166" s="24"/>
      <c r="E166" s="24"/>
    </row>
    <row r="167" spans="1:5" x14ac:dyDescent="0.3">
      <c r="A167" s="24">
        <v>166</v>
      </c>
      <c r="B167" s="24" t="s">
        <v>482</v>
      </c>
      <c r="C167" s="24" t="s">
        <v>77</v>
      </c>
      <c r="D167" s="24"/>
      <c r="E167" s="24"/>
    </row>
    <row r="168" spans="1:5" x14ac:dyDescent="0.3">
      <c r="A168" s="24">
        <v>167</v>
      </c>
      <c r="B168" s="24" t="s">
        <v>212</v>
      </c>
      <c r="C168" s="24" t="s">
        <v>76</v>
      </c>
      <c r="D168" s="24"/>
      <c r="E168" s="24"/>
    </row>
    <row r="169" spans="1:5" x14ac:dyDescent="0.3">
      <c r="A169" s="24">
        <v>168</v>
      </c>
      <c r="B169" s="24" t="s">
        <v>483</v>
      </c>
      <c r="C169" s="24" t="s">
        <v>82</v>
      </c>
      <c r="D169" s="24"/>
      <c r="E169" s="24"/>
    </row>
    <row r="170" spans="1:5" x14ac:dyDescent="0.3">
      <c r="A170" s="24">
        <v>169</v>
      </c>
      <c r="B170" s="24" t="s">
        <v>484</v>
      </c>
      <c r="C170" s="24" t="s">
        <v>79</v>
      </c>
      <c r="D170" s="24"/>
      <c r="E170" s="24"/>
    </row>
    <row r="171" spans="1:5" x14ac:dyDescent="0.3">
      <c r="A171" s="24">
        <v>170</v>
      </c>
      <c r="B171" s="24" t="s">
        <v>485</v>
      </c>
      <c r="C171" s="24" t="s">
        <v>79</v>
      </c>
      <c r="D171" s="24"/>
      <c r="E171" s="24"/>
    </row>
    <row r="172" spans="1:5" x14ac:dyDescent="0.3">
      <c r="A172" s="24">
        <v>171</v>
      </c>
      <c r="B172" s="24" t="s">
        <v>486</v>
      </c>
      <c r="C172" s="24" t="s">
        <v>77</v>
      </c>
      <c r="D172" s="24"/>
      <c r="E172" s="24"/>
    </row>
    <row r="173" spans="1:5" x14ac:dyDescent="0.3">
      <c r="A173" s="24">
        <v>172</v>
      </c>
      <c r="B173" s="24" t="s">
        <v>216</v>
      </c>
      <c r="C173" s="24" t="s">
        <v>81</v>
      </c>
      <c r="D173" s="24"/>
      <c r="E173" s="24"/>
    </row>
    <row r="174" spans="1:5" x14ac:dyDescent="0.3">
      <c r="A174" s="24">
        <v>173</v>
      </c>
      <c r="B174" s="24" t="s">
        <v>487</v>
      </c>
      <c r="C174" s="24" t="s">
        <v>82</v>
      </c>
      <c r="D174" s="24"/>
      <c r="E174" s="24"/>
    </row>
    <row r="175" spans="1:5" x14ac:dyDescent="0.3">
      <c r="A175" s="24">
        <v>174</v>
      </c>
      <c r="B175" s="24" t="s">
        <v>46</v>
      </c>
      <c r="C175" s="24" t="s">
        <v>80</v>
      </c>
      <c r="D175" s="24"/>
      <c r="E175" s="24"/>
    </row>
    <row r="176" spans="1:5" x14ac:dyDescent="0.3">
      <c r="A176" s="24">
        <v>175</v>
      </c>
      <c r="B176" s="24" t="s">
        <v>488</v>
      </c>
      <c r="C176" s="24" t="s">
        <v>77</v>
      </c>
      <c r="D176" s="24"/>
      <c r="E176" s="24"/>
    </row>
    <row r="177" spans="1:5" x14ac:dyDescent="0.3">
      <c r="A177" s="24">
        <v>176</v>
      </c>
      <c r="B177" s="24" t="s">
        <v>545</v>
      </c>
      <c r="C177" s="24" t="s">
        <v>76</v>
      </c>
      <c r="D177" s="24"/>
      <c r="E177" s="24"/>
    </row>
    <row r="178" spans="1:5" x14ac:dyDescent="0.3">
      <c r="A178" s="24">
        <v>177</v>
      </c>
      <c r="B178" s="24" t="s">
        <v>490</v>
      </c>
      <c r="C178" s="24" t="s">
        <v>81</v>
      </c>
      <c r="D178" s="24"/>
      <c r="E178" s="24"/>
    </row>
    <row r="179" spans="1:5" x14ac:dyDescent="0.3">
      <c r="A179" s="24">
        <v>178</v>
      </c>
      <c r="B179" s="24" t="s">
        <v>331</v>
      </c>
      <c r="C179" s="24" t="s">
        <v>76</v>
      </c>
      <c r="D179" s="24"/>
      <c r="E179" s="24"/>
    </row>
    <row r="180" spans="1:5" x14ac:dyDescent="0.3">
      <c r="A180" s="24">
        <v>179</v>
      </c>
      <c r="B180" s="24" t="s">
        <v>218</v>
      </c>
      <c r="C180" s="24" t="s">
        <v>79</v>
      </c>
      <c r="D180" s="24"/>
      <c r="E180" s="24"/>
    </row>
    <row r="181" spans="1:5" x14ac:dyDescent="0.3">
      <c r="A181" s="24">
        <v>180</v>
      </c>
      <c r="B181" s="24" t="s">
        <v>491</v>
      </c>
      <c r="C181" s="24" t="s">
        <v>77</v>
      </c>
      <c r="D181" s="24"/>
      <c r="E181" s="24"/>
    </row>
    <row r="182" spans="1:5" x14ac:dyDescent="0.3">
      <c r="A182" s="24">
        <v>181</v>
      </c>
      <c r="B182" s="24" t="s">
        <v>492</v>
      </c>
      <c r="C182" s="24" t="s">
        <v>76</v>
      </c>
      <c r="D182" s="24"/>
      <c r="E182" s="24"/>
    </row>
    <row r="183" spans="1:5" x14ac:dyDescent="0.3">
      <c r="A183" s="24">
        <v>182</v>
      </c>
      <c r="B183" s="24" t="s">
        <v>493</v>
      </c>
      <c r="C183" s="24" t="s">
        <v>79</v>
      </c>
      <c r="D183" s="24"/>
      <c r="E183" s="24"/>
    </row>
    <row r="184" spans="1:5" x14ac:dyDescent="0.3">
      <c r="A184" s="24">
        <v>183</v>
      </c>
      <c r="B184" s="24" t="s">
        <v>219</v>
      </c>
      <c r="C184" s="24" t="s">
        <v>76</v>
      </c>
      <c r="D184" s="24"/>
      <c r="E184" s="24"/>
    </row>
    <row r="185" spans="1:5" x14ac:dyDescent="0.3">
      <c r="A185" s="24">
        <v>184</v>
      </c>
      <c r="B185" s="24" t="s">
        <v>494</v>
      </c>
      <c r="C185" s="24" t="s">
        <v>252</v>
      </c>
      <c r="D185" s="24"/>
      <c r="E185" s="24"/>
    </row>
    <row r="186" spans="1:5" x14ac:dyDescent="0.3">
      <c r="A186" s="24">
        <v>185</v>
      </c>
      <c r="B186" s="24" t="s">
        <v>26</v>
      </c>
      <c r="C186" s="24" t="s">
        <v>79</v>
      </c>
      <c r="D186" s="24"/>
      <c r="E186" s="24"/>
    </row>
    <row r="187" spans="1:5" x14ac:dyDescent="0.3">
      <c r="A187" s="24">
        <v>186</v>
      </c>
      <c r="B187" s="24" t="s">
        <v>495</v>
      </c>
      <c r="C187" s="24" t="s">
        <v>82</v>
      </c>
      <c r="D187" s="24"/>
      <c r="E187" s="24"/>
    </row>
    <row r="188" spans="1:5" x14ac:dyDescent="0.3">
      <c r="A188" s="24">
        <v>187</v>
      </c>
      <c r="B188" s="24" t="s">
        <v>63</v>
      </c>
      <c r="C188" s="24" t="s">
        <v>79</v>
      </c>
      <c r="D188" s="24"/>
      <c r="E188" s="24"/>
    </row>
    <row r="189" spans="1:5" x14ac:dyDescent="0.3">
      <c r="A189" s="24">
        <v>188</v>
      </c>
      <c r="B189" s="24" t="s">
        <v>220</v>
      </c>
      <c r="C189" s="24" t="s">
        <v>76</v>
      </c>
      <c r="D189" s="24"/>
      <c r="E189" s="24"/>
    </row>
    <row r="190" spans="1:5" x14ac:dyDescent="0.3">
      <c r="A190" s="24">
        <v>189</v>
      </c>
      <c r="B190" s="24" t="s">
        <v>496</v>
      </c>
      <c r="C190" s="24" t="s">
        <v>82</v>
      </c>
      <c r="D190" s="24"/>
      <c r="E190" s="24"/>
    </row>
    <row r="191" spans="1:5" x14ac:dyDescent="0.3">
      <c r="A191" s="24">
        <v>190</v>
      </c>
      <c r="B191" s="24" t="s">
        <v>497</v>
      </c>
      <c r="C191" s="24" t="s">
        <v>82</v>
      </c>
      <c r="D191" s="24"/>
      <c r="E191" s="24"/>
    </row>
    <row r="192" spans="1:5" x14ac:dyDescent="0.3">
      <c r="A192" s="24">
        <v>191</v>
      </c>
      <c r="B192" s="24" t="s">
        <v>498</v>
      </c>
      <c r="C192" s="24" t="s">
        <v>79</v>
      </c>
      <c r="D192" s="24"/>
      <c r="E192" s="24"/>
    </row>
    <row r="193" spans="1:5" x14ac:dyDescent="0.3">
      <c r="A193" s="24">
        <v>192</v>
      </c>
      <c r="B193" s="24" t="s">
        <v>499</v>
      </c>
      <c r="C193" s="24" t="s">
        <v>79</v>
      </c>
      <c r="D193" s="24"/>
      <c r="E193" s="24"/>
    </row>
    <row r="194" spans="1:5" x14ac:dyDescent="0.3">
      <c r="A194" s="24">
        <v>193</v>
      </c>
      <c r="B194" s="24" t="s">
        <v>500</v>
      </c>
      <c r="C194" s="24" t="s">
        <v>81</v>
      </c>
      <c r="D194" s="24"/>
      <c r="E194" s="24"/>
    </row>
    <row r="195" spans="1:5" x14ac:dyDescent="0.3">
      <c r="A195" s="24">
        <v>194</v>
      </c>
      <c r="B195" s="24" t="s">
        <v>501</v>
      </c>
      <c r="C195" s="24" t="s">
        <v>252</v>
      </c>
      <c r="D195" s="24"/>
      <c r="E195" s="24"/>
    </row>
    <row r="196" spans="1:5" x14ac:dyDescent="0.3">
      <c r="A196" s="24">
        <v>195</v>
      </c>
      <c r="B196" s="24" t="s">
        <v>32</v>
      </c>
      <c r="C196" s="24" t="s">
        <v>76</v>
      </c>
      <c r="D196" s="24"/>
      <c r="E196" s="24"/>
    </row>
    <row r="197" spans="1:5" x14ac:dyDescent="0.3">
      <c r="A197" s="24">
        <v>196</v>
      </c>
      <c r="B197" s="24" t="s">
        <v>223</v>
      </c>
      <c r="C197" s="24" t="s">
        <v>76</v>
      </c>
      <c r="D197" s="24"/>
      <c r="E197" s="24"/>
    </row>
    <row r="198" spans="1:5" x14ac:dyDescent="0.3">
      <c r="A198" s="24">
        <v>197</v>
      </c>
      <c r="B198" s="24" t="s">
        <v>224</v>
      </c>
      <c r="C198" s="24" t="s">
        <v>82</v>
      </c>
      <c r="D198" s="24"/>
      <c r="E198" s="24"/>
    </row>
    <row r="199" spans="1:5" x14ac:dyDescent="0.3">
      <c r="A199" s="24">
        <v>198</v>
      </c>
      <c r="B199" s="24" t="s">
        <v>502</v>
      </c>
      <c r="C199" s="24" t="s">
        <v>79</v>
      </c>
      <c r="D199" s="24"/>
      <c r="E199" s="24"/>
    </row>
    <row r="200" spans="1:5" x14ac:dyDescent="0.3">
      <c r="A200" s="24">
        <v>199</v>
      </c>
      <c r="B200" s="24" t="s">
        <v>503</v>
      </c>
      <c r="C200" s="24" t="s">
        <v>76</v>
      </c>
      <c r="D200" s="24"/>
      <c r="E200" s="24"/>
    </row>
    <row r="201" spans="1:5" x14ac:dyDescent="0.3">
      <c r="A201" s="24">
        <v>200</v>
      </c>
      <c r="B201" s="24" t="s">
        <v>117</v>
      </c>
      <c r="C201" s="24" t="s">
        <v>76</v>
      </c>
      <c r="D201" s="24"/>
      <c r="E201" s="24"/>
    </row>
    <row r="202" spans="1:5" x14ac:dyDescent="0.3">
      <c r="A202" s="24">
        <v>201</v>
      </c>
      <c r="B202" s="24" t="s">
        <v>504</v>
      </c>
      <c r="C202" s="24" t="s">
        <v>79</v>
      </c>
      <c r="D202" s="24"/>
      <c r="E202" s="24"/>
    </row>
    <row r="203" spans="1:5" x14ac:dyDescent="0.3">
      <c r="A203" s="24">
        <v>202</v>
      </c>
      <c r="B203" s="24" t="s">
        <v>505</v>
      </c>
      <c r="C203" s="24" t="s">
        <v>79</v>
      </c>
      <c r="D203" s="24"/>
      <c r="E203" s="24"/>
    </row>
    <row r="204" spans="1:5" x14ac:dyDescent="0.3">
      <c r="A204" s="24">
        <v>203</v>
      </c>
      <c r="B204" s="24" t="s">
        <v>506</v>
      </c>
      <c r="C204" s="24" t="s">
        <v>82</v>
      </c>
      <c r="D204" s="24"/>
      <c r="E204" s="24"/>
    </row>
    <row r="205" spans="1:5" x14ac:dyDescent="0.3">
      <c r="A205" s="24">
        <v>204</v>
      </c>
      <c r="B205" s="24" t="s">
        <v>348</v>
      </c>
      <c r="C205" s="24" t="s">
        <v>82</v>
      </c>
      <c r="D205" s="24"/>
      <c r="E205" s="24"/>
    </row>
    <row r="206" spans="1:5" x14ac:dyDescent="0.3">
      <c r="A206" s="24">
        <v>205</v>
      </c>
      <c r="B206" s="24" t="s">
        <v>22</v>
      </c>
      <c r="C206" s="24" t="s">
        <v>79</v>
      </c>
      <c r="D206" s="24"/>
      <c r="E206" s="24"/>
    </row>
    <row r="207" spans="1:5" x14ac:dyDescent="0.3">
      <c r="A207" s="24">
        <v>206</v>
      </c>
      <c r="B207" s="24" t="s">
        <v>507</v>
      </c>
      <c r="C207" s="24" t="s">
        <v>79</v>
      </c>
      <c r="D207" s="24"/>
      <c r="E207" s="24"/>
    </row>
    <row r="208" spans="1:5" x14ac:dyDescent="0.3">
      <c r="A208" s="24">
        <v>207</v>
      </c>
      <c r="B208" s="24" t="s">
        <v>508</v>
      </c>
      <c r="C208" s="24" t="s">
        <v>79</v>
      </c>
      <c r="D208" s="24"/>
      <c r="E208" s="24"/>
    </row>
    <row r="209" spans="1:5" x14ac:dyDescent="0.3">
      <c r="A209" s="24">
        <v>208</v>
      </c>
      <c r="B209" s="24" t="s">
        <v>227</v>
      </c>
      <c r="C209" s="24" t="s">
        <v>79</v>
      </c>
      <c r="D209" s="24"/>
      <c r="E209" s="24"/>
    </row>
    <row r="210" spans="1:5" x14ac:dyDescent="0.3">
      <c r="A210" s="24">
        <v>209</v>
      </c>
      <c r="B210" s="24" t="s">
        <v>509</v>
      </c>
      <c r="C210" s="24" t="s">
        <v>81</v>
      </c>
      <c r="D210" s="24"/>
      <c r="E210" s="24"/>
    </row>
    <row r="211" spans="1:5" x14ac:dyDescent="0.3">
      <c r="A211" s="24">
        <v>210</v>
      </c>
      <c r="B211" s="24" t="s">
        <v>228</v>
      </c>
      <c r="C211" s="24" t="s">
        <v>79</v>
      </c>
      <c r="D211" s="23"/>
      <c r="E211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5" t="s">
        <v>237</v>
      </c>
      <c r="J4" s="25"/>
      <c r="K4" s="25"/>
      <c r="L4" s="25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5" t="s">
        <v>247</v>
      </c>
      <c r="J19" s="25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T3PT</vt:lpstr>
      <vt:lpstr>T2PT</vt:lpstr>
      <vt:lpstr>T1PT</vt:lpstr>
      <vt:lpstr>Trial1</vt:lpstr>
      <vt:lpstr>Sheet1</vt:lpstr>
      <vt:lpstr>Trial2</vt:lpstr>
      <vt:lpstr>Sheet2</vt:lpstr>
      <vt:lpstr>Trial3</vt:lpstr>
      <vt:lpstr>Sheet3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EMAD EDDIN ABDULSALAM ALCHMRI</cp:lastModifiedBy>
  <dcterms:created xsi:type="dcterms:W3CDTF">2025-03-07T09:34:27Z</dcterms:created>
  <dcterms:modified xsi:type="dcterms:W3CDTF">2025-10-04T06:29:10Z</dcterms:modified>
</cp:coreProperties>
</file>