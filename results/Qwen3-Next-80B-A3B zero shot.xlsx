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Main\University\junior\"/>
    </mc:Choice>
  </mc:AlternateContent>
  <xr:revisionPtr revIDLastSave="0" documentId="13_ncr:1_{D40A768E-E681-4816-B6C5-25BDF0B2DCCB}" xr6:coauthVersionLast="47" xr6:coauthVersionMax="47" xr10:uidLastSave="{00000000-0000-0000-0000-000000000000}"/>
  <bookViews>
    <workbookView xWindow="-108" yWindow="-108" windowWidth="23256" windowHeight="1245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<sst xmlns="http://schemas.openxmlformats.org/spreadsheetml/2006/main" count="2170" uniqueCount="512">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</sst>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[Qwen3-Next-80B-A3B zero shot.xlsx]T1PT!PivotTable4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zoomScale="87" workbookViewId="0">
      <selection activeCell="E1" sqref="E1:E1048576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77</v>
      </c>
      <c r="E2" s="9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19</v>
      </c>
      <c r="J2" s="4">
        <f>(I2/H2)</f>
        <v>0.27142857142857141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9" t="s">
        <v>80</v>
      </c>
      <c r="F3" s="1" t="b">
        <f t="shared" ref="F3:F66" si="0">IF(D3=E3, TRUE, FALSE)</f>
        <v>0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9" t="s">
        <v>82</v>
      </c>
      <c r="F4" s="1" t="b">
        <f t="shared" si="0"/>
        <v>0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77</v>
      </c>
      <c r="E5" s="9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77</v>
      </c>
      <c r="E6" s="9" t="s">
        <v>80</v>
      </c>
      <c r="F6" s="1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77</v>
      </c>
      <c r="E7" s="9" t="s">
        <v>252</v>
      </c>
      <c r="F7" s="1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77</v>
      </c>
      <c r="E8" s="9" t="s">
        <v>77</v>
      </c>
      <c r="F8" s="1" t="b">
        <f t="shared" si="0"/>
        <v>1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10</v>
      </c>
      <c r="K9" s="3">
        <f t="shared" si="3"/>
        <v>1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77</v>
      </c>
      <c r="E10" s="9" t="s">
        <v>80</v>
      </c>
      <c r="F10" s="1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9" t="s">
        <v>77</v>
      </c>
      <c r="F11" s="1" t="b">
        <f t="shared" si="0"/>
        <v>1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9</v>
      </c>
      <c r="K12" s="3">
        <f t="shared" si="3"/>
        <v>0.9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77</v>
      </c>
      <c r="E14" s="9" t="s">
        <v>80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77</v>
      </c>
      <c r="E15" s="9" t="s">
        <v>76</v>
      </c>
      <c r="F15" s="1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7</v>
      </c>
      <c r="K15" s="4">
        <f>J15/I15</f>
        <v>0.20588235294117646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77</v>
      </c>
      <c r="E16" s="9" t="s">
        <v>79</v>
      </c>
      <c r="F16" s="1" t="b">
        <f t="shared" si="0"/>
        <v>0</v>
      </c>
      <c r="H16" s="1" t="s">
        <v>257</v>
      </c>
      <c r="I16" s="1">
        <f>COUNTIF(C2:C71, "Medium")</f>
        <v>21</v>
      </c>
      <c r="J16" s="1">
        <f>COUNTIFS(C2:C71, "Medium", F2:F71, TRUE)</f>
        <v>10</v>
      </c>
      <c r="K16" s="4">
        <f t="shared" ref="K16:K17" si="4">J16/I16</f>
        <v>0.47619047619047616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77</v>
      </c>
      <c r="E17" s="9" t="s">
        <v>77</v>
      </c>
      <c r="F17" s="1" t="b">
        <f t="shared" si="0"/>
        <v>1</v>
      </c>
      <c r="H17" s="1" t="s">
        <v>256</v>
      </c>
      <c r="I17" s="1">
        <f>COUNTIF(C2:C71, "Long")</f>
        <v>15</v>
      </c>
      <c r="J17" s="1">
        <f>COUNTIFS(C2:C71, "Long", F2:F71, TRUE)</f>
        <v>2</v>
      </c>
      <c r="K17" s="4">
        <f t="shared" si="4"/>
        <v>0.13333333333333333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77</v>
      </c>
      <c r="E18" s="9" t="s">
        <v>79</v>
      </c>
      <c r="F18" s="1" t="b">
        <f t="shared" si="0"/>
        <v>0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77</v>
      </c>
      <c r="E19" s="9" t="s">
        <v>252</v>
      </c>
      <c r="F19" s="1" t="b">
        <f t="shared" si="0"/>
        <v>0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77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10</v>
      </c>
      <c r="K21" s="6">
        <f>J21/I11</f>
        <v>1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77</v>
      </c>
      <c r="E22" s="9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77</v>
      </c>
      <c r="E24" s="9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77</v>
      </c>
      <c r="E25" s="9" t="s">
        <v>81</v>
      </c>
      <c r="F25" s="1" t="b">
        <f t="shared" si="0"/>
        <v>0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77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5</v>
      </c>
      <c r="K26" s="6">
        <f>J26/I7</f>
        <v>0.5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77</v>
      </c>
      <c r="E27" s="9" t="s">
        <v>79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77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9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77</v>
      </c>
      <c r="E31" s="9" t="s">
        <v>252</v>
      </c>
      <c r="F31" s="1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77</v>
      </c>
      <c r="E32" s="9" t="s">
        <v>77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77</v>
      </c>
      <c r="E34" s="9" t="s">
        <v>77</v>
      </c>
      <c r="F34" s="1" t="b">
        <f t="shared" si="0"/>
        <v>1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77</v>
      </c>
      <c r="E35" s="9" t="s">
        <v>80</v>
      </c>
      <c r="F35" s="1" t="b">
        <f t="shared" si="0"/>
        <v>0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77</v>
      </c>
      <c r="E36" s="9" t="s">
        <v>80</v>
      </c>
      <c r="F36" s="1" t="b">
        <f t="shared" si="0"/>
        <v>0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77</v>
      </c>
      <c r="E37" s="9" t="s">
        <v>81</v>
      </c>
      <c r="F37" s="1" t="b">
        <f t="shared" si="0"/>
        <v>0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77</v>
      </c>
      <c r="E38" s="9" t="s">
        <v>252</v>
      </c>
      <c r="F38" s="1" t="b">
        <f t="shared" si="0"/>
        <v>0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77</v>
      </c>
      <c r="E39" s="9" t="s">
        <v>79</v>
      </c>
      <c r="F39" s="1" t="b">
        <f t="shared" si="0"/>
        <v>0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77</v>
      </c>
      <c r="E40" s="9" t="s">
        <v>82</v>
      </c>
      <c r="F40" s="1" t="b">
        <f t="shared" si="0"/>
        <v>0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77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77</v>
      </c>
      <c r="E42" s="9" t="s">
        <v>81</v>
      </c>
      <c r="F42" s="1" t="b">
        <f t="shared" si="0"/>
        <v>0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252</v>
      </c>
      <c r="E43" s="9" t="s">
        <v>81</v>
      </c>
      <c r="F43" s="1" t="b">
        <f t="shared" si="0"/>
        <v>0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77</v>
      </c>
      <c r="E44" s="9" t="s">
        <v>80</v>
      </c>
      <c r="F44" s="1" t="b">
        <f t="shared" si="0"/>
        <v>0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77</v>
      </c>
      <c r="E45" s="9" t="s">
        <v>252</v>
      </c>
      <c r="F45" s="1" t="b">
        <f t="shared" si="0"/>
        <v>0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252</v>
      </c>
      <c r="E46" s="9" t="s">
        <v>81</v>
      </c>
      <c r="F46" s="1" t="b">
        <f t="shared" si="0"/>
        <v>0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77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77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76</v>
      </c>
      <c r="E49" s="9" t="s">
        <v>81</v>
      </c>
      <c r="F49" s="1" t="b">
        <f t="shared" si="0"/>
        <v>0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252</v>
      </c>
      <c r="E50" s="9" t="s">
        <v>81</v>
      </c>
      <c r="F50" s="1" t="b">
        <f t="shared" si="0"/>
        <v>0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77</v>
      </c>
      <c r="E53" s="9" t="s">
        <v>82</v>
      </c>
      <c r="F53" s="1" t="b">
        <f t="shared" si="0"/>
        <v>0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77</v>
      </c>
      <c r="E54" s="9" t="s">
        <v>77</v>
      </c>
      <c r="F54" s="1" t="b">
        <f t="shared" si="0"/>
        <v>1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9" t="s">
        <v>79</v>
      </c>
      <c r="F55" s="1" t="b">
        <f t="shared" si="0"/>
        <v>0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77</v>
      </c>
      <c r="E56" s="9" t="s">
        <v>252</v>
      </c>
      <c r="F56" s="1" t="b">
        <f t="shared" si="0"/>
        <v>0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77</v>
      </c>
      <c r="E57" s="9" t="s">
        <v>77</v>
      </c>
      <c r="F57" s="1" t="b">
        <f t="shared" si="0"/>
        <v>1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77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252</v>
      </c>
      <c r="E59" s="9" t="s">
        <v>81</v>
      </c>
      <c r="F59" s="1" t="b">
        <f t="shared" si="0"/>
        <v>0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77</v>
      </c>
      <c r="E60" s="9" t="s">
        <v>79</v>
      </c>
      <c r="F60" s="1" t="b">
        <f t="shared" si="0"/>
        <v>0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77</v>
      </c>
      <c r="E61" s="9" t="s">
        <v>252</v>
      </c>
      <c r="F61" s="1" t="b">
        <f t="shared" si="0"/>
        <v>0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77</v>
      </c>
      <c r="E62" s="9" t="s">
        <v>252</v>
      </c>
      <c r="F62" s="1" t="b">
        <f t="shared" si="0"/>
        <v>0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252</v>
      </c>
      <c r="E63" s="9" t="s">
        <v>81</v>
      </c>
      <c r="F63" s="1" t="b">
        <f t="shared" si="0"/>
        <v>0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77</v>
      </c>
      <c r="E64" s="9" t="s">
        <v>252</v>
      </c>
      <c r="F64" s="1" t="b">
        <f t="shared" si="0"/>
        <v>0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77</v>
      </c>
      <c r="E66" s="9" t="s">
        <v>79</v>
      </c>
      <c r="F66" s="1" t="b">
        <f t="shared" si="0"/>
        <v>0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77</v>
      </c>
      <c r="E67" s="9" t="s">
        <v>82</v>
      </c>
      <c r="F67" s="1" t="b">
        <f t="shared" ref="F67:F71" si="7">IF(D67=E67, TRUE, FALSE)</f>
        <v>0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77</v>
      </c>
      <c r="E68" s="9" t="s">
        <v>77</v>
      </c>
      <c r="F68" s="1" t="b">
        <f t="shared" si="7"/>
        <v>1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77</v>
      </c>
      <c r="E69" s="9" t="s">
        <v>77</v>
      </c>
      <c r="F69" s="1" t="b">
        <f t="shared" si="7"/>
        <v>1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77</v>
      </c>
      <c r="E70" s="9" t="s">
        <v>80</v>
      </c>
      <c r="F70" s="1" t="b">
        <f t="shared" si="7"/>
        <v>0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B34" sqref="B34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54</v>
      </c>
      <c r="J2" s="4">
        <f>I2/H2</f>
        <v>0.38571428571428573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1" t="s">
        <v>77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77</v>
      </c>
      <c r="E5" s="1" t="s">
        <v>81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77</v>
      </c>
      <c r="E6" s="1" t="s">
        <v>77</v>
      </c>
      <c r="F6" s="1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8</v>
      </c>
      <c r="K6" s="3">
        <f>J6/I6</f>
        <v>0.4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77</v>
      </c>
      <c r="E7" s="1" t="s">
        <v>77</v>
      </c>
      <c r="F7" s="1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7</v>
      </c>
      <c r="K7" s="3">
        <f t="shared" ref="K7:K12" si="3">J7/I7</f>
        <v>0.35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77</v>
      </c>
      <c r="E8" s="1" t="s">
        <v>80</v>
      </c>
      <c r="F8" s="1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77</v>
      </c>
      <c r="E9" s="1" t="s">
        <v>80</v>
      </c>
      <c r="F9" s="1" t="b">
        <f t="shared" si="0"/>
        <v>0</v>
      </c>
      <c r="H9" s="1" t="s">
        <v>77</v>
      </c>
      <c r="I9" s="1">
        <f t="shared" si="1"/>
        <v>20</v>
      </c>
      <c r="J9" s="1">
        <f t="shared" si="2"/>
        <v>19</v>
      </c>
      <c r="K9" s="3">
        <f t="shared" si="3"/>
        <v>0.95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77</v>
      </c>
      <c r="E10" s="1" t="s">
        <v>252</v>
      </c>
      <c r="F10" s="1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77</v>
      </c>
      <c r="E13" s="1" t="s">
        <v>80</v>
      </c>
      <c r="F13" s="1" t="b">
        <f t="shared" si="0"/>
        <v>0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77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76</v>
      </c>
      <c r="F15" s="1" t="b">
        <f t="shared" si="0"/>
        <v>1</v>
      </c>
      <c r="H15" s="1" t="s">
        <v>258</v>
      </c>
      <c r="I15" s="1">
        <f>COUNTIF(C2:C141, "Short")</f>
        <v>66</v>
      </c>
      <c r="J15" s="1">
        <f>COUNTIFS(C2:C141, "Short", F2:F141, TRUE)</f>
        <v>25</v>
      </c>
      <c r="K15" s="4">
        <f>J15/I15</f>
        <v>0.37878787878787878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77</v>
      </c>
      <c r="E16" s="1" t="s">
        <v>80</v>
      </c>
      <c r="F16" s="1" t="b">
        <f t="shared" si="0"/>
        <v>0</v>
      </c>
      <c r="H16" s="1" t="s">
        <v>257</v>
      </c>
      <c r="I16" s="1">
        <f>COUNTIFS(C2:C141, "Medium")</f>
        <v>51</v>
      </c>
      <c r="J16" s="1">
        <f>COUNTIFS(C2:C141, "Medium", F2:F141, TRUE)</f>
        <v>25</v>
      </c>
      <c r="K16" s="4">
        <f t="shared" ref="K16:K17" si="4">J16/I16</f>
        <v>0.49019607843137253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77</v>
      </c>
      <c r="E17" s="1" t="s">
        <v>252</v>
      </c>
      <c r="F17" s="1" t="b">
        <f t="shared" si="0"/>
        <v>0</v>
      </c>
      <c r="H17" s="1" t="s">
        <v>256</v>
      </c>
      <c r="I17" s="1">
        <f>COUNTIF(C2:C141, "Long")</f>
        <v>23</v>
      </c>
      <c r="J17" s="1">
        <f>COUNTIFS(C2:C141, "Long", F2:F141, TRUE)</f>
        <v>4</v>
      </c>
      <c r="K17" s="4">
        <f t="shared" si="4"/>
        <v>0.17391304347826086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77</v>
      </c>
      <c r="E18" s="1" t="s">
        <v>79</v>
      </c>
      <c r="F18" s="1" t="b">
        <f t="shared" si="0"/>
        <v>0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77</v>
      </c>
      <c r="E19" s="1" t="s">
        <v>77</v>
      </c>
      <c r="F19" s="1" t="b">
        <f t="shared" si="0"/>
        <v>1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77</v>
      </c>
      <c r="E20" s="1" t="s">
        <v>79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1" t="s">
        <v>81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8</v>
      </c>
      <c r="K21" s="6">
        <f>J21/I11</f>
        <v>0.4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1" t="s">
        <v>77</v>
      </c>
      <c r="F23" s="1" t="b">
        <f t="shared" si="0"/>
        <v>1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77</v>
      </c>
      <c r="E24" s="1" t="s">
        <v>77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77</v>
      </c>
      <c r="E25" s="1" t="s">
        <v>79</v>
      </c>
      <c r="F25" s="1" t="b">
        <f t="shared" si="0"/>
        <v>0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77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0.05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77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77</v>
      </c>
      <c r="E28" s="1" t="s">
        <v>77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77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77</v>
      </c>
      <c r="E31" s="1" t="s">
        <v>77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77</v>
      </c>
      <c r="E32" s="1" t="s">
        <v>252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6">
        <f>J32/I11</f>
        <v>0.05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77</v>
      </c>
      <c r="E33" s="1" t="s">
        <v>79</v>
      </c>
      <c r="F33" s="1" t="b">
        <f t="shared" si="0"/>
        <v>0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77</v>
      </c>
      <c r="E34" s="1" t="s">
        <v>80</v>
      </c>
      <c r="F34" s="1" t="b">
        <f t="shared" si="0"/>
        <v>0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77</v>
      </c>
      <c r="E35" s="1" t="s">
        <v>252</v>
      </c>
      <c r="F35" s="1" t="b">
        <f t="shared" si="0"/>
        <v>0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77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77</v>
      </c>
      <c r="E40" s="1" t="s">
        <v>82</v>
      </c>
      <c r="F40" s="1" t="b">
        <f t="shared" si="0"/>
        <v>0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77</v>
      </c>
      <c r="E41" s="1" t="s">
        <v>77</v>
      </c>
      <c r="F41" s="1" t="b">
        <f t="shared" si="0"/>
        <v>1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76</v>
      </c>
      <c r="E42" s="1" t="s">
        <v>80</v>
      </c>
      <c r="F42" s="1" t="b">
        <f t="shared" si="0"/>
        <v>0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77</v>
      </c>
      <c r="E45" s="1" t="s">
        <v>79</v>
      </c>
      <c r="F45" s="1" t="b">
        <f t="shared" si="0"/>
        <v>0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252</v>
      </c>
      <c r="E46" s="1" t="s">
        <v>252</v>
      </c>
      <c r="F46" s="1" t="b">
        <f t="shared" si="0"/>
        <v>1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1" t="s">
        <v>81</v>
      </c>
      <c r="F50" s="1" t="b">
        <f t="shared" si="0"/>
        <v>1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77</v>
      </c>
      <c r="E51" s="1" t="s">
        <v>80</v>
      </c>
      <c r="F51" s="1" t="b">
        <f t="shared" si="0"/>
        <v>0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77</v>
      </c>
      <c r="E52" s="1" t="s">
        <v>77</v>
      </c>
      <c r="F52" s="1" t="b">
        <f t="shared" si="0"/>
        <v>1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77</v>
      </c>
      <c r="E54" s="1" t="s">
        <v>79</v>
      </c>
      <c r="F54" s="1" t="b">
        <f t="shared" si="0"/>
        <v>0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77</v>
      </c>
      <c r="E56" s="1" t="s">
        <v>81</v>
      </c>
      <c r="F56" s="1" t="b">
        <f t="shared" si="0"/>
        <v>0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77</v>
      </c>
      <c r="E58" s="1" t="s">
        <v>81</v>
      </c>
      <c r="F58" s="1" t="b">
        <f t="shared" si="0"/>
        <v>0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77</v>
      </c>
      <c r="E59" s="1" t="s">
        <v>79</v>
      </c>
      <c r="F59" s="1" t="b">
        <f t="shared" si="0"/>
        <v>0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77</v>
      </c>
      <c r="E60" s="1" t="s">
        <v>79</v>
      </c>
      <c r="F60" s="1" t="b">
        <f t="shared" si="0"/>
        <v>0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1" t="s">
        <v>252</v>
      </c>
      <c r="F62" s="1" t="b">
        <f t="shared" si="0"/>
        <v>1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77</v>
      </c>
      <c r="E63" s="1" t="s">
        <v>79</v>
      </c>
      <c r="F63" s="1" t="b">
        <f t="shared" si="0"/>
        <v>0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77</v>
      </c>
      <c r="E64" s="1" t="s">
        <v>82</v>
      </c>
      <c r="F64" s="1" t="b">
        <f t="shared" si="0"/>
        <v>0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80</v>
      </c>
      <c r="F66" s="1" t="b">
        <f t="shared" si="0"/>
        <v>0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76</v>
      </c>
      <c r="E67" s="1" t="s">
        <v>81</v>
      </c>
      <c r="F67" s="1" t="b">
        <f t="shared" ref="F67:F130" si="7">IF(D67=E67, TRUE, FALSE)</f>
        <v>0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77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77</v>
      </c>
      <c r="E69" s="1" t="s">
        <v>80</v>
      </c>
      <c r="F69" s="1" t="b">
        <f t="shared" si="7"/>
        <v>0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77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252</v>
      </c>
      <c r="E71" s="1" t="s">
        <v>81</v>
      </c>
      <c r="F71" s="1" t="b">
        <f t="shared" si="7"/>
        <v>0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77</v>
      </c>
      <c r="E72" s="1" t="s">
        <v>252</v>
      </c>
      <c r="F72" s="1" t="b">
        <f t="shared" si="7"/>
        <v>0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77</v>
      </c>
      <c r="E73" s="1" t="s">
        <v>252</v>
      </c>
      <c r="F73" s="1" t="b">
        <f t="shared" si="7"/>
        <v>0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77</v>
      </c>
      <c r="E74" s="1" t="s">
        <v>82</v>
      </c>
      <c r="F74" s="1" t="b">
        <f t="shared" si="7"/>
        <v>0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252</v>
      </c>
      <c r="E75" s="1" t="s">
        <v>77</v>
      </c>
      <c r="F75" s="1" t="b">
        <f t="shared" si="7"/>
        <v>0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77</v>
      </c>
      <c r="E76" s="1" t="s">
        <v>79</v>
      </c>
      <c r="F76" s="1" t="b">
        <f t="shared" si="7"/>
        <v>0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252</v>
      </c>
      <c r="E77" s="1" t="s">
        <v>82</v>
      </c>
      <c r="F77" s="1" t="b">
        <f t="shared" si="7"/>
        <v>0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77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77</v>
      </c>
      <c r="E79" s="1" t="s">
        <v>81</v>
      </c>
      <c r="F79" s="1" t="b">
        <f t="shared" si="7"/>
        <v>0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77</v>
      </c>
      <c r="E81" s="1" t="s">
        <v>79</v>
      </c>
      <c r="F81" s="1" t="b">
        <f t="shared" si="7"/>
        <v>0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77</v>
      </c>
      <c r="E82" s="1" t="s">
        <v>80</v>
      </c>
      <c r="F82" s="1" t="b">
        <f t="shared" si="7"/>
        <v>0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77</v>
      </c>
      <c r="E83" s="1" t="s">
        <v>81</v>
      </c>
      <c r="F83" s="1" t="b">
        <f t="shared" si="7"/>
        <v>0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77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77</v>
      </c>
      <c r="E85" s="1" t="s">
        <v>77</v>
      </c>
      <c r="F85" s="1" t="b">
        <f t="shared" si="7"/>
        <v>1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77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77</v>
      </c>
      <c r="E87" s="1" t="s">
        <v>82</v>
      </c>
      <c r="F87" s="1" t="b">
        <f t="shared" si="7"/>
        <v>0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252</v>
      </c>
      <c r="F88" s="1" t="b">
        <f t="shared" si="7"/>
        <v>0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77</v>
      </c>
      <c r="E89" s="1" t="s">
        <v>80</v>
      </c>
      <c r="F89" s="1" t="b">
        <f t="shared" si="7"/>
        <v>0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82</v>
      </c>
      <c r="F90" s="1" t="b">
        <f t="shared" si="7"/>
        <v>0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77</v>
      </c>
      <c r="E91" s="1" t="s">
        <v>79</v>
      </c>
      <c r="F91" s="1" t="b">
        <f t="shared" si="7"/>
        <v>0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77</v>
      </c>
      <c r="E92" s="1" t="s">
        <v>82</v>
      </c>
      <c r="F92" s="1" t="b">
        <f t="shared" si="7"/>
        <v>0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77</v>
      </c>
      <c r="E93" s="1" t="s">
        <v>77</v>
      </c>
      <c r="F93" s="1" t="b">
        <f t="shared" si="7"/>
        <v>1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77</v>
      </c>
      <c r="E95" s="1" t="s">
        <v>77</v>
      </c>
      <c r="F95" s="1" t="b">
        <f t="shared" si="7"/>
        <v>1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77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77</v>
      </c>
      <c r="E98" s="1" t="s">
        <v>80</v>
      </c>
      <c r="F98" s="1" t="b">
        <f t="shared" si="7"/>
        <v>0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77</v>
      </c>
      <c r="E99" s="1" t="s">
        <v>77</v>
      </c>
      <c r="F99" s="1" t="b">
        <f t="shared" si="7"/>
        <v>1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252</v>
      </c>
      <c r="E100" s="1" t="s">
        <v>79</v>
      </c>
      <c r="F100" s="1" t="b">
        <f t="shared" si="7"/>
        <v>0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77</v>
      </c>
      <c r="E101" s="1" t="s">
        <v>252</v>
      </c>
      <c r="F101" s="1" t="b">
        <f t="shared" si="7"/>
        <v>0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77</v>
      </c>
      <c r="E102" s="1" t="s">
        <v>81</v>
      </c>
      <c r="F102" s="1" t="b">
        <f t="shared" si="7"/>
        <v>0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77</v>
      </c>
      <c r="E103" s="1" t="s">
        <v>80</v>
      </c>
      <c r="F103" s="1" t="b">
        <f t="shared" si="7"/>
        <v>0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77</v>
      </c>
      <c r="E104" s="1" t="s">
        <v>77</v>
      </c>
      <c r="F104" s="1" t="b">
        <f t="shared" si="7"/>
        <v>1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77</v>
      </c>
      <c r="E105" s="1" t="s">
        <v>80</v>
      </c>
      <c r="F105" s="1" t="b">
        <f t="shared" si="7"/>
        <v>0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252</v>
      </c>
      <c r="E106" s="1" t="s">
        <v>81</v>
      </c>
      <c r="F106" s="1" t="b">
        <f t="shared" si="7"/>
        <v>0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77</v>
      </c>
      <c r="E107" s="1" t="s">
        <v>79</v>
      </c>
      <c r="F107" s="1" t="b">
        <f t="shared" si="7"/>
        <v>0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77</v>
      </c>
      <c r="E109" s="1" t="s">
        <v>79</v>
      </c>
      <c r="F109" s="1" t="b">
        <f t="shared" si="7"/>
        <v>0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77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77</v>
      </c>
      <c r="E112" s="1" t="s">
        <v>252</v>
      </c>
      <c r="F112" s="1" t="b">
        <f t="shared" si="7"/>
        <v>0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77</v>
      </c>
      <c r="E113" s="1" t="s">
        <v>82</v>
      </c>
      <c r="F113" s="1" t="b">
        <f t="shared" si="7"/>
        <v>0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76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252</v>
      </c>
      <c r="E117" s="1" t="s">
        <v>82</v>
      </c>
      <c r="F117" s="1" t="b">
        <f t="shared" si="7"/>
        <v>0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252</v>
      </c>
      <c r="E119" s="1" t="s">
        <v>252</v>
      </c>
      <c r="F119" s="1" t="b">
        <f t="shared" si="7"/>
        <v>1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77</v>
      </c>
      <c r="E120" s="1" t="s">
        <v>82</v>
      </c>
      <c r="F120" s="1" t="b">
        <f t="shared" si="7"/>
        <v>0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80</v>
      </c>
      <c r="F125" s="1" t="b">
        <f t="shared" si="7"/>
        <v>0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77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252</v>
      </c>
      <c r="E129" s="1" t="s">
        <v>252</v>
      </c>
      <c r="F129" s="1" t="b">
        <f t="shared" si="7"/>
        <v>1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252</v>
      </c>
      <c r="E130" s="1" t="s">
        <v>252</v>
      </c>
      <c r="F130" s="1" t="b">
        <f t="shared" si="7"/>
        <v>1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77</v>
      </c>
      <c r="E133" s="1" t="s">
        <v>80</v>
      </c>
      <c r="F133" s="1" t="b">
        <f t="shared" si="8"/>
        <v>0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77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77</v>
      </c>
      <c r="E135" s="1" t="s">
        <v>80</v>
      </c>
      <c r="F135" s="1" t="b">
        <f t="shared" si="8"/>
        <v>0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252</v>
      </c>
      <c r="E136" s="1" t="s">
        <v>252</v>
      </c>
      <c r="F136" s="1" t="b">
        <f t="shared" si="8"/>
        <v>1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252</v>
      </c>
      <c r="E137" s="1" t="s">
        <v>252</v>
      </c>
      <c r="F137" s="1" t="b">
        <f t="shared" si="8"/>
        <v>1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252</v>
      </c>
      <c r="E138" s="1" t="s">
        <v>80</v>
      </c>
      <c r="F138" s="1" t="b">
        <f t="shared" si="8"/>
        <v>0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77</v>
      </c>
      <c r="E139" s="1" t="s">
        <v>77</v>
      </c>
      <c r="F139" s="1" t="b">
        <f t="shared" si="8"/>
        <v>1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77</v>
      </c>
      <c r="E140" s="1" t="s">
        <v>79</v>
      </c>
      <c r="F140" s="1" t="b">
        <f t="shared" si="8"/>
        <v>0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77</v>
      </c>
      <c r="E141" s="1" t="s">
        <v>81</v>
      </c>
      <c r="F141" s="1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D1" sqref="D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76</v>
      </c>
      <c r="J2" s="4">
        <f>I2/H2</f>
        <v>0.3619047619047619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77</v>
      </c>
      <c r="E4" s="1" t="s">
        <v>79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77</v>
      </c>
      <c r="E5" s="1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77</v>
      </c>
      <c r="E6" s="1" t="s">
        <v>82</v>
      </c>
      <c r="F6" s="1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6</v>
      </c>
      <c r="K6" s="3">
        <f>J6/I6</f>
        <v>0.2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77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11</v>
      </c>
      <c r="K7" s="3">
        <f t="shared" ref="K7:K12" si="3">J7/I7</f>
        <v>0.36666666666666664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5</v>
      </c>
      <c r="K8" s="3">
        <f t="shared" si="3"/>
        <v>0.16666666666666666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25</v>
      </c>
      <c r="K9" s="3">
        <f t="shared" si="3"/>
        <v>0.83333333333333337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77</v>
      </c>
      <c r="E10" s="1" t="s">
        <v>79</v>
      </c>
      <c r="F10" s="1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1" t="s">
        <v>80</v>
      </c>
      <c r="F11" s="1" t="b">
        <f t="shared" si="0"/>
        <v>0</v>
      </c>
      <c r="H11" s="1" t="s">
        <v>80</v>
      </c>
      <c r="I11" s="1">
        <f t="shared" si="1"/>
        <v>30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77</v>
      </c>
      <c r="E14" s="1" t="s">
        <v>79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79</v>
      </c>
      <c r="E15" s="1" t="s">
        <v>79</v>
      </c>
      <c r="F15" s="1" t="b">
        <f t="shared" si="0"/>
        <v>1</v>
      </c>
      <c r="H15" s="1" t="s">
        <v>258</v>
      </c>
      <c r="I15" s="1">
        <f>COUNTIF(C2:C211, H15)</f>
        <v>96</v>
      </c>
      <c r="J15" s="1">
        <f>COUNTIFS(C2:C211, H15, F2:F211, TRUE)</f>
        <v>37</v>
      </c>
      <c r="K15" s="4">
        <f>J15/I15</f>
        <v>0.38541666666666669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79</v>
      </c>
      <c r="E16" s="1" t="s">
        <v>81</v>
      </c>
      <c r="F16" s="1" t="b">
        <f t="shared" si="0"/>
        <v>0</v>
      </c>
      <c r="H16" s="1" t="s">
        <v>257</v>
      </c>
      <c r="I16" s="1">
        <f>COUNTIFS(C2:C211, H16)</f>
        <v>96</v>
      </c>
      <c r="J16" s="1">
        <f>COUNTIFS(C2:C211, H16, F2:F211, TRUE)</f>
        <v>38</v>
      </c>
      <c r="K16" s="4">
        <f t="shared" ref="K16:K17" si="4">J16/I16</f>
        <v>0.39583333333333331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77</v>
      </c>
      <c r="E17" s="1" t="s">
        <v>80</v>
      </c>
      <c r="F17" s="1" t="b">
        <f t="shared" si="0"/>
        <v>0</v>
      </c>
      <c r="H17" s="1" t="s">
        <v>256</v>
      </c>
      <c r="I17" s="1">
        <f>COUNTIF(C2:C211, H17)</f>
        <v>18</v>
      </c>
      <c r="J17" s="1">
        <f>COUNTIFS(C2:C211, H17, F2:F211, TRUE)</f>
        <v>1</v>
      </c>
      <c r="K17" s="4">
        <f t="shared" si="4"/>
        <v>5.5555555555555552E-2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76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77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8</v>
      </c>
      <c r="K21" s="6">
        <f>J21/I11</f>
        <v>0.26666666666666666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77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77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77</v>
      </c>
      <c r="E24" s="1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77</v>
      </c>
      <c r="E25" s="1" t="s">
        <v>77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77</v>
      </c>
      <c r="E26" s="1" t="s">
        <v>252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77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77</v>
      </c>
      <c r="E28" s="1" t="s">
        <v>81</v>
      </c>
      <c r="F28" s="1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77</v>
      </c>
      <c r="E32" s="1" t="s">
        <v>81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6">
        <f>J32/I11</f>
        <v>3.3333333333333333E-2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77</v>
      </c>
      <c r="E34" s="1" t="s">
        <v>82</v>
      </c>
      <c r="F34" s="1" t="b">
        <f t="shared" si="0"/>
        <v>0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77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81</v>
      </c>
      <c r="E36" s="1" t="s">
        <v>81</v>
      </c>
      <c r="F36" s="1" t="b">
        <f t="shared" si="0"/>
        <v>1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76</v>
      </c>
      <c r="E37" s="1" t="s">
        <v>81</v>
      </c>
      <c r="F37" s="1" t="b">
        <f t="shared" si="0"/>
        <v>0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77</v>
      </c>
      <c r="E38" s="1" t="s">
        <v>81</v>
      </c>
      <c r="F38" s="1" t="b">
        <f t="shared" si="0"/>
        <v>0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81</v>
      </c>
      <c r="E39" s="1" t="s">
        <v>80</v>
      </c>
      <c r="F39" s="1" t="b">
        <f t="shared" si="0"/>
        <v>0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252</v>
      </c>
      <c r="E40" s="1" t="s">
        <v>252</v>
      </c>
      <c r="F40" s="1" t="b">
        <f t="shared" si="0"/>
        <v>1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77</v>
      </c>
      <c r="E41" s="1" t="s">
        <v>252</v>
      </c>
      <c r="F41" s="1" t="b">
        <f t="shared" si="0"/>
        <v>0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77</v>
      </c>
      <c r="E42" s="1" t="s">
        <v>79</v>
      </c>
      <c r="F42" s="1" t="b">
        <f t="shared" si="0"/>
        <v>0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77</v>
      </c>
      <c r="E43" s="1" t="s">
        <v>82</v>
      </c>
      <c r="F43" s="1" t="b">
        <f t="shared" si="0"/>
        <v>0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77</v>
      </c>
      <c r="E44" s="1" t="s">
        <v>252</v>
      </c>
      <c r="F44" s="1" t="b">
        <f t="shared" si="0"/>
        <v>0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82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79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77</v>
      </c>
      <c r="E47" s="1" t="s">
        <v>77</v>
      </c>
      <c r="F47" s="1" t="b">
        <f t="shared" si="0"/>
        <v>1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1" t="s">
        <v>79</v>
      </c>
      <c r="F51" s="1" t="b">
        <f t="shared" si="0"/>
        <v>0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77</v>
      </c>
      <c r="E52" s="1" t="s">
        <v>80</v>
      </c>
      <c r="F52" s="1" t="b">
        <f t="shared" si="0"/>
        <v>0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76</v>
      </c>
      <c r="E53" s="1" t="s">
        <v>77</v>
      </c>
      <c r="F53" s="1" t="b">
        <f t="shared" si="0"/>
        <v>0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77</v>
      </c>
      <c r="E54" s="1" t="s">
        <v>82</v>
      </c>
      <c r="F54" s="1" t="b">
        <f t="shared" si="0"/>
        <v>0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77</v>
      </c>
      <c r="E55" s="1" t="s">
        <v>80</v>
      </c>
      <c r="F55" s="1" t="b">
        <f t="shared" si="0"/>
        <v>0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77</v>
      </c>
      <c r="E56" s="1" t="s">
        <v>79</v>
      </c>
      <c r="F56" s="1" t="b">
        <f t="shared" si="0"/>
        <v>0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77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77</v>
      </c>
      <c r="E58" s="1" t="s">
        <v>81</v>
      </c>
      <c r="F58" s="1" t="b">
        <f t="shared" si="0"/>
        <v>0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77</v>
      </c>
      <c r="E60" s="1" t="s">
        <v>82</v>
      </c>
      <c r="F60" s="1" t="b">
        <f t="shared" si="0"/>
        <v>0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77</v>
      </c>
      <c r="E61" s="1" t="s">
        <v>81</v>
      </c>
      <c r="F61" s="1" t="b">
        <f t="shared" si="0"/>
        <v>0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77</v>
      </c>
      <c r="E62" s="1" t="s">
        <v>81</v>
      </c>
      <c r="F62" s="1" t="b">
        <f t="shared" si="0"/>
        <v>0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77</v>
      </c>
      <c r="E63" s="1" t="s">
        <v>80</v>
      </c>
      <c r="F63" s="1" t="b">
        <f t="shared" si="0"/>
        <v>0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77</v>
      </c>
      <c r="E64" s="1" t="s">
        <v>77</v>
      </c>
      <c r="F64" s="1" t="b">
        <f t="shared" si="0"/>
        <v>1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77</v>
      </c>
      <c r="E65" s="1" t="s">
        <v>80</v>
      </c>
      <c r="F65" s="1" t="b">
        <f t="shared" si="0"/>
        <v>0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77</v>
      </c>
      <c r="F66" s="1" t="b">
        <f t="shared" si="0"/>
        <v>1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77</v>
      </c>
      <c r="E67" s="1" t="s">
        <v>77</v>
      </c>
      <c r="F67" s="1" t="b">
        <f t="shared" ref="F67:F130" si="7">IF(D67=E67, TRUE, FALSE)</f>
        <v>1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77</v>
      </c>
      <c r="E68" s="1" t="s">
        <v>81</v>
      </c>
      <c r="F68" s="1" t="b">
        <f t="shared" si="7"/>
        <v>0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7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252</v>
      </c>
      <c r="E70" s="1" t="s">
        <v>252</v>
      </c>
      <c r="F70" s="1" t="b">
        <f t="shared" si="7"/>
        <v>1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77</v>
      </c>
      <c r="E71" s="1" t="s">
        <v>77</v>
      </c>
      <c r="F71" s="1" t="b">
        <f t="shared" si="7"/>
        <v>1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77</v>
      </c>
      <c r="E72" s="1" t="s">
        <v>82</v>
      </c>
      <c r="F72" s="1" t="b">
        <f t="shared" si="7"/>
        <v>0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77</v>
      </c>
      <c r="E73" s="1" t="s">
        <v>252</v>
      </c>
      <c r="F73" s="1" t="b">
        <f t="shared" si="7"/>
        <v>0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77</v>
      </c>
      <c r="E74" s="1" t="s">
        <v>79</v>
      </c>
      <c r="F74" s="1" t="b">
        <f t="shared" si="7"/>
        <v>0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79</v>
      </c>
      <c r="E75" s="1" t="s">
        <v>79</v>
      </c>
      <c r="F75" s="1" t="b">
        <f t="shared" si="7"/>
        <v>1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77</v>
      </c>
      <c r="E76" s="1" t="s">
        <v>77</v>
      </c>
      <c r="F76" s="1" t="b">
        <f t="shared" si="7"/>
        <v>1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77</v>
      </c>
      <c r="E77" s="1" t="s">
        <v>79</v>
      </c>
      <c r="F77" s="1" t="b">
        <f t="shared" si="7"/>
        <v>0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7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77</v>
      </c>
      <c r="E79" s="1" t="s">
        <v>82</v>
      </c>
      <c r="F79" s="1" t="b">
        <f t="shared" si="7"/>
        <v>0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77</v>
      </c>
      <c r="E81" s="1" t="s">
        <v>77</v>
      </c>
      <c r="F81" s="1" t="b">
        <f t="shared" si="7"/>
        <v>1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7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7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81</v>
      </c>
      <c r="E84" s="1" t="s">
        <v>81</v>
      </c>
      <c r="F84" s="1" t="b">
        <f t="shared" si="7"/>
        <v>1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7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77</v>
      </c>
      <c r="E86" s="1" t="s">
        <v>252</v>
      </c>
      <c r="F86" s="1" t="b">
        <f t="shared" si="7"/>
        <v>0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77</v>
      </c>
      <c r="E87" s="1" t="s">
        <v>79</v>
      </c>
      <c r="F87" s="1" t="b">
        <f t="shared" si="7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82</v>
      </c>
      <c r="F88" s="1" t="b">
        <f t="shared" si="7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77</v>
      </c>
      <c r="E89" s="1" t="s">
        <v>82</v>
      </c>
      <c r="F89" s="1" t="b">
        <f t="shared" si="7"/>
        <v>0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77</v>
      </c>
      <c r="F90" s="1" t="b">
        <f t="shared" si="7"/>
        <v>1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76</v>
      </c>
      <c r="E91" s="1" t="s">
        <v>82</v>
      </c>
      <c r="F91" s="1" t="b">
        <f t="shared" si="7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76</v>
      </c>
      <c r="E92" s="1" t="s">
        <v>82</v>
      </c>
      <c r="F92" s="1" t="b">
        <f t="shared" si="7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77</v>
      </c>
      <c r="E93" s="1" t="s">
        <v>82</v>
      </c>
      <c r="F93" s="1" t="b">
        <f t="shared" si="7"/>
        <v>0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252</v>
      </c>
      <c r="E94" s="1" t="s">
        <v>252</v>
      </c>
      <c r="F94" s="1" t="b">
        <f t="shared" si="7"/>
        <v>1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77</v>
      </c>
      <c r="E95" s="1" t="s">
        <v>80</v>
      </c>
      <c r="F95" s="1" t="b">
        <f t="shared" si="7"/>
        <v>0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77</v>
      </c>
      <c r="E96" s="1" t="s">
        <v>79</v>
      </c>
      <c r="F96" s="1" t="b">
        <f t="shared" si="7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7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77</v>
      </c>
      <c r="E98" s="1" t="s">
        <v>80</v>
      </c>
      <c r="F98" s="1" t="b">
        <f t="shared" si="7"/>
        <v>0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77</v>
      </c>
      <c r="E99" s="1" t="s">
        <v>252</v>
      </c>
      <c r="F99" s="1" t="b">
        <f t="shared" si="7"/>
        <v>0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77</v>
      </c>
      <c r="E100" s="1" t="s">
        <v>77</v>
      </c>
      <c r="F100" s="1" t="b">
        <f t="shared" si="7"/>
        <v>1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77</v>
      </c>
      <c r="E101" s="1" t="s">
        <v>80</v>
      </c>
      <c r="F101" s="1" t="b">
        <f t="shared" si="7"/>
        <v>0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76</v>
      </c>
      <c r="E102" s="1" t="s">
        <v>79</v>
      </c>
      <c r="F102" s="1" t="b">
        <f t="shared" si="7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77</v>
      </c>
      <c r="E103" s="1" t="s">
        <v>252</v>
      </c>
      <c r="F103" s="1" t="b">
        <f t="shared" si="7"/>
        <v>0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77</v>
      </c>
      <c r="E104" s="1" t="s">
        <v>80</v>
      </c>
      <c r="F104" s="1" t="b">
        <f t="shared" si="7"/>
        <v>0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77</v>
      </c>
      <c r="E105" s="1" t="s">
        <v>80</v>
      </c>
      <c r="F105" s="1" t="b">
        <f t="shared" si="7"/>
        <v>0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77</v>
      </c>
      <c r="E106" s="1" t="s">
        <v>79</v>
      </c>
      <c r="F106" s="1" t="b">
        <f t="shared" si="7"/>
        <v>0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77</v>
      </c>
      <c r="E107" s="1" t="s">
        <v>77</v>
      </c>
      <c r="F107" s="1" t="b">
        <f t="shared" si="7"/>
        <v>1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7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77</v>
      </c>
      <c r="E110" s="1" t="s">
        <v>252</v>
      </c>
      <c r="F110" s="1" t="b">
        <f t="shared" si="7"/>
        <v>0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76</v>
      </c>
      <c r="E112" s="1" t="s">
        <v>77</v>
      </c>
      <c r="F112" s="1" t="b">
        <f t="shared" si="7"/>
        <v>0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77</v>
      </c>
      <c r="E113" s="1" t="s">
        <v>81</v>
      </c>
      <c r="F113" s="1" t="b">
        <f t="shared" si="7"/>
        <v>0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77</v>
      </c>
      <c r="E115" s="1" t="s">
        <v>79</v>
      </c>
      <c r="F115" s="1" t="b">
        <f t="shared" si="7"/>
        <v>0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77</v>
      </c>
      <c r="E116" s="1" t="s">
        <v>252</v>
      </c>
      <c r="F116" s="1" t="b">
        <f t="shared" si="7"/>
        <v>0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77</v>
      </c>
      <c r="E117" s="1" t="s">
        <v>80</v>
      </c>
      <c r="F117" s="1" t="b">
        <f t="shared" si="7"/>
        <v>0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77</v>
      </c>
      <c r="E119" s="1" t="s">
        <v>82</v>
      </c>
      <c r="F119" s="1" t="b">
        <f t="shared" si="7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77</v>
      </c>
      <c r="E120" s="1" t="s">
        <v>81</v>
      </c>
      <c r="F120" s="1" t="b">
        <f t="shared" si="7"/>
        <v>0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77</v>
      </c>
      <c r="E122" s="1" t="s">
        <v>79</v>
      </c>
      <c r="F122" s="1" t="b">
        <f t="shared" si="7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7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77</v>
      </c>
      <c r="E125" s="1" t="s">
        <v>82</v>
      </c>
      <c r="F125" s="1" t="b">
        <f t="shared" si="7"/>
        <v>0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77</v>
      </c>
      <c r="E126" s="1" t="s">
        <v>77</v>
      </c>
      <c r="F126" s="1" t="b">
        <f t="shared" si="7"/>
        <v>1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77</v>
      </c>
      <c r="E127" s="1" t="s">
        <v>80</v>
      </c>
      <c r="F127" s="1" t="b">
        <f t="shared" si="7"/>
        <v>0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77</v>
      </c>
      <c r="E128" s="1" t="s">
        <v>81</v>
      </c>
      <c r="F128" s="1" t="b">
        <f t="shared" si="7"/>
        <v>0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7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77</v>
      </c>
      <c r="E130" s="1" t="s">
        <v>76</v>
      </c>
      <c r="F130" s="1" t="b">
        <f t="shared" si="7"/>
        <v>0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" t="b">
        <f t="shared" ref="F131:F194" si="8">IF(D131=E131, TRUE, FALSE)</f>
        <v>1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77</v>
      </c>
      <c r="E133" s="1" t="s">
        <v>80</v>
      </c>
      <c r="F133" s="1" t="b">
        <f t="shared" si="8"/>
        <v>0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77</v>
      </c>
      <c r="E134" s="1" t="s">
        <v>252</v>
      </c>
      <c r="F134" s="1" t="b">
        <f t="shared" si="8"/>
        <v>0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8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252</v>
      </c>
      <c r="E136" s="1" t="s">
        <v>77</v>
      </c>
      <c r="F136" s="1" t="b">
        <f t="shared" si="8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77</v>
      </c>
      <c r="E137" s="1" t="s">
        <v>81</v>
      </c>
      <c r="F137" s="1" t="b">
        <f t="shared" si="8"/>
        <v>0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8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77</v>
      </c>
      <c r="E139" s="1" t="s">
        <v>77</v>
      </c>
      <c r="F139" s="1" t="b">
        <f t="shared" si="8"/>
        <v>1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77</v>
      </c>
      <c r="E140" s="1" t="s">
        <v>80</v>
      </c>
      <c r="F140" s="1" t="b">
        <f t="shared" si="8"/>
        <v>0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77</v>
      </c>
      <c r="E141" s="1" t="s">
        <v>79</v>
      </c>
      <c r="F141" s="1" t="b">
        <f t="shared" si="8"/>
        <v>0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77</v>
      </c>
      <c r="E142" s="1" t="s">
        <v>79</v>
      </c>
      <c r="F142" s="1" t="b">
        <f t="shared" si="8"/>
        <v>0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77</v>
      </c>
      <c r="E143" s="1" t="s">
        <v>77</v>
      </c>
      <c r="F143" s="1" t="b">
        <f t="shared" si="8"/>
        <v>1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77</v>
      </c>
      <c r="E144" s="1" t="s">
        <v>77</v>
      </c>
      <c r="F144" s="1" t="b">
        <f t="shared" si="8"/>
        <v>1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8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77</v>
      </c>
      <c r="E146" s="1" t="s">
        <v>80</v>
      </c>
      <c r="F146" s="1" t="b">
        <f t="shared" si="8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8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77</v>
      </c>
      <c r="E148" s="1" t="s">
        <v>79</v>
      </c>
      <c r="F148" s="1" t="b">
        <f t="shared" si="8"/>
        <v>0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77</v>
      </c>
      <c r="E149" s="1" t="s">
        <v>81</v>
      </c>
      <c r="F149" s="1" t="b">
        <f t="shared" si="8"/>
        <v>0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77</v>
      </c>
      <c r="E150" s="1" t="s">
        <v>82</v>
      </c>
      <c r="F150" s="1" t="b">
        <f t="shared" si="8"/>
        <v>0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77</v>
      </c>
      <c r="E151" s="1" t="s">
        <v>80</v>
      </c>
      <c r="F151" s="1" t="b">
        <f t="shared" si="8"/>
        <v>0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77</v>
      </c>
      <c r="E152" s="1" t="s">
        <v>81</v>
      </c>
      <c r="F152" s="1" t="b">
        <f t="shared" si="8"/>
        <v>0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77</v>
      </c>
      <c r="E153" s="1" t="s">
        <v>77</v>
      </c>
      <c r="F153" s="1" t="b">
        <f t="shared" si="8"/>
        <v>1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8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77</v>
      </c>
      <c r="E155" s="1" t="s">
        <v>79</v>
      </c>
      <c r="F155" s="1" t="b">
        <f t="shared" si="8"/>
        <v>0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76</v>
      </c>
      <c r="E156" s="1" t="s">
        <v>80</v>
      </c>
      <c r="F156" s="1" t="b">
        <f t="shared" si="8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77</v>
      </c>
      <c r="E157" s="1" t="s">
        <v>252</v>
      </c>
      <c r="F157" s="1" t="b">
        <f t="shared" si="8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8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77</v>
      </c>
      <c r="E159" s="1" t="s">
        <v>80</v>
      </c>
      <c r="F159" s="1" t="b">
        <f t="shared" si="8"/>
        <v>0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77</v>
      </c>
      <c r="E160" s="1" t="s">
        <v>79</v>
      </c>
      <c r="F160" s="1" t="b">
        <f t="shared" si="8"/>
        <v>0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77</v>
      </c>
      <c r="E161" s="1" t="s">
        <v>82</v>
      </c>
      <c r="F161" s="1" t="b">
        <f t="shared" si="8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77</v>
      </c>
      <c r="E162" s="1" t="s">
        <v>82</v>
      </c>
      <c r="F162" s="1" t="b">
        <f t="shared" si="8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77</v>
      </c>
      <c r="E163" s="1" t="s">
        <v>252</v>
      </c>
      <c r="F163" s="1" t="b">
        <f t="shared" si="8"/>
        <v>0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77</v>
      </c>
      <c r="E164" s="1" t="s">
        <v>79</v>
      </c>
      <c r="F164" s="1" t="b">
        <f t="shared" si="8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8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77</v>
      </c>
      <c r="E166" s="1" t="s">
        <v>82</v>
      </c>
      <c r="F166" s="1" t="b">
        <f t="shared" si="8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8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8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77</v>
      </c>
      <c r="E169" s="1" t="s">
        <v>82</v>
      </c>
      <c r="F169" s="1" t="b">
        <f t="shared" si="8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77</v>
      </c>
      <c r="E170" s="1" t="s">
        <v>77</v>
      </c>
      <c r="F170" s="1" t="b">
        <f t="shared" si="8"/>
        <v>1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77</v>
      </c>
      <c r="E171" s="1" t="s">
        <v>82</v>
      </c>
      <c r="F171" s="1" t="b">
        <f t="shared" si="8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79</v>
      </c>
      <c r="E172" s="1" t="s">
        <v>77</v>
      </c>
      <c r="F172" s="1" t="b">
        <f t="shared" si="8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8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8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77</v>
      </c>
      <c r="E175" s="1" t="s">
        <v>80</v>
      </c>
      <c r="F175" s="1" t="b">
        <f t="shared" si="8"/>
        <v>0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77</v>
      </c>
      <c r="E176" s="1" t="s">
        <v>77</v>
      </c>
      <c r="F176" s="1" t="b">
        <f t="shared" si="8"/>
        <v>1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8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79</v>
      </c>
      <c r="E178" s="1" t="s">
        <v>81</v>
      </c>
      <c r="F178" s="1" t="b">
        <f t="shared" si="8"/>
        <v>0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8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76</v>
      </c>
      <c r="E180" s="1" t="s">
        <v>252</v>
      </c>
      <c r="F180" s="1" t="b">
        <f t="shared" si="8"/>
        <v>0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77</v>
      </c>
      <c r="E181" s="1" t="s">
        <v>80</v>
      </c>
      <c r="F181" s="1" t="b">
        <f t="shared" si="8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8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77</v>
      </c>
      <c r="E183" s="1" t="s">
        <v>252</v>
      </c>
      <c r="F183" s="1" t="b">
        <f t="shared" si="8"/>
        <v>0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8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77</v>
      </c>
      <c r="E185" s="1" t="s">
        <v>252</v>
      </c>
      <c r="F185" s="1" t="b">
        <f t="shared" si="8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77</v>
      </c>
      <c r="E186" s="1" t="s">
        <v>79</v>
      </c>
      <c r="F186" s="1" t="b">
        <f t="shared" si="8"/>
        <v>0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77</v>
      </c>
      <c r="E187" s="1" t="s">
        <v>77</v>
      </c>
      <c r="F187" s="1" t="b">
        <f t="shared" si="8"/>
        <v>1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77</v>
      </c>
      <c r="E188" s="1" t="s">
        <v>252</v>
      </c>
      <c r="F188" s="1" t="b">
        <f t="shared" si="8"/>
        <v>0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8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77</v>
      </c>
      <c r="E190" s="1" t="s">
        <v>77</v>
      </c>
      <c r="F190" s="1" t="b">
        <f t="shared" si="8"/>
        <v>1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77</v>
      </c>
      <c r="E191" s="1" t="s">
        <v>81</v>
      </c>
      <c r="F191" s="1" t="b">
        <f t="shared" si="8"/>
        <v>0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77</v>
      </c>
      <c r="E192" s="1" t="s">
        <v>82</v>
      </c>
      <c r="F192" s="1" t="b">
        <f t="shared" si="8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77</v>
      </c>
      <c r="E193" s="1" t="s">
        <v>79</v>
      </c>
      <c r="F193" s="1" t="b">
        <f t="shared" si="8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77</v>
      </c>
      <c r="E194" s="1" t="s">
        <v>81</v>
      </c>
      <c r="F194" s="1" t="b">
        <f t="shared" si="8"/>
        <v>0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77</v>
      </c>
      <c r="E195" s="1" t="s">
        <v>252</v>
      </c>
      <c r="F195" s="1" t="b">
        <f t="shared" ref="F195:F211" si="9">IF(D195=E195, TRUE, FALSE)</f>
        <v>0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" t="b">
        <f t="shared" si="9"/>
        <v>1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9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77</v>
      </c>
      <c r="E198" s="1" t="s">
        <v>252</v>
      </c>
      <c r="F198" s="1" t="b">
        <f t="shared" si="9"/>
        <v>0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77</v>
      </c>
      <c r="E199" s="1" t="s">
        <v>82</v>
      </c>
      <c r="F199" s="1" t="b">
        <f t="shared" si="9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9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9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77</v>
      </c>
      <c r="E202" s="1" t="s">
        <v>82</v>
      </c>
      <c r="F202" s="1" t="b">
        <f t="shared" si="9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77</v>
      </c>
      <c r="E203" s="1" t="s">
        <v>82</v>
      </c>
      <c r="F203" s="1" t="b">
        <f t="shared" si="9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77</v>
      </c>
      <c r="E204" s="1" t="s">
        <v>80</v>
      </c>
      <c r="F204" s="1" t="b">
        <f t="shared" si="9"/>
        <v>0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77</v>
      </c>
      <c r="E205" s="1" t="s">
        <v>81</v>
      </c>
      <c r="F205" s="1" t="b">
        <f t="shared" si="9"/>
        <v>0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77</v>
      </c>
      <c r="E206" s="1" t="s">
        <v>80</v>
      </c>
      <c r="F206" s="1" t="b">
        <f t="shared" si="9"/>
        <v>0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77</v>
      </c>
      <c r="E207" s="1" t="s">
        <v>252</v>
      </c>
      <c r="F207" s="1" t="b">
        <f t="shared" si="9"/>
        <v>0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77</v>
      </c>
      <c r="E208" s="1" t="s">
        <v>252</v>
      </c>
      <c r="F208" s="1" t="b">
        <f t="shared" si="9"/>
        <v>0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77</v>
      </c>
      <c r="E209" s="1" t="s">
        <v>80</v>
      </c>
      <c r="F209" s="1" t="b">
        <f t="shared" si="9"/>
        <v>0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77</v>
      </c>
      <c r="E210" s="1" t="s">
        <v>252</v>
      </c>
      <c r="F210" s="1" t="b">
        <f t="shared" si="9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77</v>
      </c>
      <c r="E211" s="1" t="s">
        <v>79</v>
      </c>
      <c r="F211" s="1" t="b">
        <f t="shared" si="9"/>
        <v>0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2025-09-15T18:27:23Z</dcterms:modified>
</cp:coreProperties>
</file>