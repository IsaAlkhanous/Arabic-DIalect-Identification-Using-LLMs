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Main\University\junior\"/>
    </mc:Choice>
  </mc:AlternateContent>
  <xr:revisionPtr revIDLastSave="0" documentId="13_ncr:1_{BDC7B806-49B6-4DB7-925B-CEAE10168E3C}" xr6:coauthVersionLast="47" xr6:coauthVersionMax="47" xr10:uidLastSave="{00000000-0000-0000-0000-000000000000}"/>
  <bookViews>
    <workbookView xWindow="-108" yWindow="-108" windowWidth="23256" windowHeight="12456" activeTab="3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8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<sst xmlns="http://schemas.openxmlformats.org/spreadsheetml/2006/main" count="2170" uniqueCount="513">
  <si>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</si>
  <si>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</si>
  <si>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</si>
  <si>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</si>
  <si>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</si>
  <si>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</si>
  <si>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</si>
  <si>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</si>
  <si>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</si>
  <si>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</si>
  <si>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</si>
  <si>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</si>
  <si>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</si>
  <si>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</si>
  <si>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</si>
  <si>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</si>
  <si>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</si>
  <si>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</si>
  <si>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</si>
  <si>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</si>
  <si>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</si>
  <si>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</si>
  <si>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</si>
  <si>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</si>
  <si>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</si>
  <si>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</si>
  <si>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</si>
  <si>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</si>
  <si>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</si>
  <si>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</si>
  <si>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</si>
  <si>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</si>
  <si>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</si>
  <si>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</si>
  <si>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</si>
  <si>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</si>
  <si>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</si>
  <si>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</si>
  <si>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</si>
  <si>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</si>
  <si>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</si>
  <si>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</si>
  <si>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</si>
  <si>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</si>
  <si>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</si>
  <si>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</si>
  <si>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</si>
  <si>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</si>
  <si>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</si>
  <si>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</si>
  <si>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</si>
  <si>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</si>
  <si>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</si>
  <si>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</si>
  <si>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</si>
  <si>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</si>
  <si>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</si>
  <si>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</si>
  <si>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</si>
  <si>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</si>
  <si>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</si>
  <si>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</si>
  <si>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</si>
  <si>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</si>
  <si>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</si>
  <si>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</si>
  <si>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</si>
  <si>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</si>
  <si>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</si>
  <si>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</si>
  <si>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</si>
  <si>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</si>
  <si>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</si>
  <si>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</si>
  <si>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</si>
  <si>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</si>
  <si>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</si>
  <si>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</si>
  <si>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</si>
  <si>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</si>
  <si>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</si>
  <si>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</si>
  <si>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</si>
  <si>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</si>
  <si>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</si>
  <si>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</si>
  <si>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</si>
  <si>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</si>
  <si>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</si>
  <si>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</si>
  <si>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</si>
  <si>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</si>
  <si>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</si>
  <si>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</si>
  <si>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</si>
  <si>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</si>
  <si>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</si>
  <si>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</si>
  <si>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</si>
  <si>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</si>
  <si>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</si>
  <si>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</si>
  <si>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</si>
  <si>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</si>
  <si>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</si>
  <si>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</si>
  <si>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</si>
  <si>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</si>
  <si>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</si>
  <si>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</si>
  <si>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</si>
  <si>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</si>
  <si>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</si>
  <si>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</si>
  <si>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</si>
  <si>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</si>
  <si>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</si>
  <si>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</si>
  <si>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</si>
  <si>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</si>
  <si>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</si>
  <si>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</si>
  <si>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</si>
  <si>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</si>
  <si>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</si>
  <si>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</si>
  <si>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</si>
  <si>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</si>
  <si>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</si>
  <si>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</si>
  <si>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</si>
  <si>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</si>
  <si>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</si>
  <si>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</si>
  <si>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</si>
  <si>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</si>
  <si>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</si>
  <si>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</si>
  <si>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</si>
  <si>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</si>
  <si>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</si>
  <si>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</si>
  <si>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</si>
  <si>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</si>
  <si>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</si>
  <si>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</si>
  <si>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</si>
  <si>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</si>
  <si>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</si>
  <si>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</si>
  <si>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</si>
  <si>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</si>
  <si>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</si>
  <si>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</si>
  <si>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</si>
  <si>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</si>
  <si>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</si>
  <si>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</si>
  <si>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</si>
  <si>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</si>
  <si>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</si>
  <si>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</si>
  <si>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</si>
  <si>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</si>
  <si>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</si>
  <si>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</si>
  <si>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</si>
  <si>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</si>
  <si>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</si>
  <si>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</si>
  <si>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</si>
  <si>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</si>
  <si>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</si>
  <si>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</si>
  <si>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</si>
  <si>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</si>
  <si>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</si>
  <si>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</si>
  <si>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</si>
  <si>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</si>
  <si>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</si>
  <si>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</si>
  <si>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</si>
  <si>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</si>
  <si>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</si>
  <si>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</si>
  <si>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</si>
  <si>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</si>
  <si>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</si>
  <si>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</si>
  <si>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</si>
  <si>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</si>
  <si>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</si>
  <si>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</si>
  <si>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</si>
  <si>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</si>
  <si>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</si>
  <si>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</si>
  <si>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</si>
  <si>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</si>
  <si>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</si>
  <si>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</si>
  <si>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</si>
  <si>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</si>
  <si>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</si>
  <si>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</si>
  <si>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</si>
  <si>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</si>
  <si>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</si>
  <si>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</si>
  <si>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</si>
  <si>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</si>
  <si>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</si>
  <si>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</si>
  <si>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</si>
  <si>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</si>
  <si>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</si>
  <si>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</si>
  <si>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</si>
  <si>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</si>
  <si>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</si>
  <si>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</si>
  <si>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</si>
  <si>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</si>
  <si>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</si>
  <si>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</si>
  <si>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</si>
  <si>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</si>
  <si>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</si>
  <si>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</si>
  <si>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</si>
  <si>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</si>
  <si>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</si>
  <si>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</si>
  <si>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</si>
  <si>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</si>
  <si>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</si>
  <si>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</si>
  <si>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</si>
  <si>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</si>
  <si>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</si>
  <si>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</si>
  <si>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</si>
  <si>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</si>
  <si>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</si>
  <si>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</si>
  <si>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</si>
  <si>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</si>
  <si>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</si>
  <si>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</si>
  <si>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</si>
  <si>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</si>
  <si>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</si>
  <si>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</si>
  <si>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</si>
  <si>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</si>
  <si>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</si>
  <si>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</si>
  <si>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</si>
  <si>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</si>
  <si>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</si>
  <si>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</si>
  <si>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</si>
  <si>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</si>
  <si>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</si>
  <si>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</si>
  <si>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</si>
  <si>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</si>
  <si>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</si>
  <si>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</si>
  <si>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</si>
  <si>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</si>
  <si>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</si>
  <si>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</si>
  <si>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</si>
  <si>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</si>
  <si>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</si>
  <si>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</si>
  <si>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</si>
  <si>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</si>
  <si>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</si>
  <si>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</si>
  <si>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</si>
  <si>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</si>
  <si>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</si>
  <si>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</si>
  <si>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</si>
  <si>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</si>
  <si>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</si>
  <si>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</si>
  <si>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</si>
  <si>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</si>
  <si>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</si>
  <si>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</si>
  <si>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</si>
  <si>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</si>
  <si>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</si>
  <si>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</si>
  <si>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</si>
  <si>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</si>
  <si>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</si>
  <si>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</si>
  <si>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</si>
  <si>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</si>
  <si>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</si>
  <si>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</si>
  <si>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</si>
  <si>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</si>
  <si>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</si>
  <si>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</si>
  <si>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</si>
  <si>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</si>
  <si>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</si>
  <si>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</si>
  <si>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</si>
  <si>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</si>
  <si>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</si>
  <si>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</si>
  <si>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</si>
  <si>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</si>
  <si>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</si>
  <si>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</si>
  <si>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</si>
  <si>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</si>
  <si>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</si>
  <si>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</si>
  <si>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</si>
  <si>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</si>
  <si>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</si>
  <si>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</si>
  <si>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</si>
  <si>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</si>
  <si>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</si>
  <si>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</si>
  <si>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</si>
  <si>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</si>
  <si>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</si>
  <si>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</si>
  <si>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</si>
  <si>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</si>
  <si>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</si>
  <si>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</si>
  <si>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</si>
  <si>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</si>
  <si>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</si>
  <si>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</si>
  <si>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</si>
  <si>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</si>
  <si>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</si>
  <si>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</si>
  <si>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</si>
  <si>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</si>
  <si>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</si>
  <si>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</si>
  <si>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</si>
  <si>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</si>
  <si>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</si>
  <si>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</si>
  <si>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</si>
  <si>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</si>
  <si>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</si>
  <si>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</si>
  <si>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</si>
  <si>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</si>
  <si>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</si>
  <si>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</si>
  <si>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</si>
  <si>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</si>
  <si>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</si>
  <si>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</si>
  <si>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</si>
  <si>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</si>
  <si>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</si>
  <si>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</si>
  <si>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</si>
  <si>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</si>
  <si>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</si>
  <si>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</si>
  <si>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</si>
  <si>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</si>
  <si>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</si>
  <si>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</si>
  <si>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</si>
  <si>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</si>
  <si>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</si>
  <si>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</si>
  <si>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</si>
  <si>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</si>
  <si>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</si>
  <si>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</si>
  <si>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</si>
  <si>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</si>
  <si>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</si>
  <si>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</si>
  <si>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</si>
  <si>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</si>
  <si>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</si>
  <si>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</si>
  <si>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</si>
  <si>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</si>
  <si>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</si>
  <si>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</si>
  <si>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</si>
  <si>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</si>
  <si>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</si>
  <si>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</si>
  <si>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</si>
  <si>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</si>
  <si>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</si>
  <si>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</si>
  <si>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</si>
  <si>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</si>
  <si>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</si>
  <si>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</si>
  <si>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</si>
  <si>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</si>
  <si>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</si>
  <si>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</si>
  <si>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</si>
  <si>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</si>
  <si>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</si>
  <si>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</si>
  <si>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</si>
  <si>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</si>
  <si>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</si>
  <si>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</si>
  <si>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</si>
  <si>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</si>
  <si>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</si>
  <si>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</si>
  <si>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</si>
  <si>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</si>
  <si>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</si>
  <si>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</si>
  <si>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</si>
  <si>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</si>
  <si>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</si>
  <si>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</si>
  <si>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</si>
  <si>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</si>
  <si>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</si>
  <si>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</si>
  <si>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</si>
  <si>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</si>
  <si>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</si>
  <si>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</si>
  <si>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</si>
  <si>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</si>
  <si>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</si>
  <si>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</si>
  <si>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</si>
  <si>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</si>
  <si>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</si>
  <si>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</si>
  <si>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</si>
  <si>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</si>
  <si>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</si>
  <si>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</si>
  <si>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</si>
  <si>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</si>
  <si>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</si>
  <si>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</si>
  <si>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</si>
  <si>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</si>
  <si>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</si>
  <si>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</si>
  <si>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</si>
  <si>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</si>
  <si>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</si>
  <si>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</si>
  <si>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</si>
  <si>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</si>
  <si>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</si>
  <si>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</si>
  <si>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</si>
  <si>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</si>
  <si>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</si>
  <si>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</si>
  <si>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</si>
  <si>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</si>
  <si>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</si>
  <si>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</si>
  <si>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</si>
  <si>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</si>
  <si>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</si>
  <si>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</si>
  <si>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</si>
  <si>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</si>
  <si>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</si>
  <si>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</si>
  <si>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</si>
  <si>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</si>
  <si>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</si>
  <si>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</si>
  <si>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</si>
  <si>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</si>
  <si>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</si>
  <si>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</si>
  <si>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</si>
  <si>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</si>
  <si>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</si>
  <si>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</si>
  <si>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</si>
  <si>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</si>
  <si>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</si>
  <si>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</si>
  <si>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</si>
  <si>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</si>
  <si>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</si>
  <si>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</si>
  <si>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</si>
  <si>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</si>
  <si>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>SUD (Note: Not in list, closest is NILE)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</si>
</sst>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zero shot.xlsx]T3PT!PivotTable2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zero shot.xlsx]T3PT!PivotTable4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zero shot.xlsx]T2PT!PivotTable2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zero shot.xlsx]T2PT!PivotTable4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zero shot.xlsx]T1PT!PivotTable2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[Qwen3-Max-Preview zero shot.xlsx]T1PT!PivotTable4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30</v>
      </c>
    </row>
    <row r="6" spans="1:2" x14ac:dyDescent="0.3">
      <c r="A6" s="8" t="s">
        <v>80</v>
      </c>
      <c r="B6">
        <v>30</v>
      </c>
    </row>
    <row r="7" spans="1:2" x14ac:dyDescent="0.3">
      <c r="A7" s="8" t="s">
        <v>79</v>
      </c>
      <c r="B7">
        <v>30</v>
      </c>
    </row>
    <row r="8" spans="1:2" x14ac:dyDescent="0.3">
      <c r="A8" s="8" t="s">
        <v>76</v>
      </c>
      <c r="B8">
        <v>30</v>
      </c>
    </row>
    <row r="9" spans="1:2" x14ac:dyDescent="0.3">
      <c r="A9" s="8" t="s">
        <v>252</v>
      </c>
      <c r="B9">
        <v>30</v>
      </c>
    </row>
    <row r="10" spans="1:2" x14ac:dyDescent="0.3">
      <c r="A10" s="8" t="s">
        <v>81</v>
      </c>
      <c r="B10">
        <v>30</v>
      </c>
    </row>
    <row r="11" spans="1:2" x14ac:dyDescent="0.3">
      <c r="A11" s="8" t="s">
        <v>82</v>
      </c>
      <c r="B11">
        <v>30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18</v>
      </c>
    </row>
    <row r="16" spans="1:2" x14ac:dyDescent="0.3">
      <c r="A16" s="8" t="s">
        <v>257</v>
      </c>
      <c r="B16">
        <v>96</v>
      </c>
    </row>
    <row r="17" spans="1:2" x14ac:dyDescent="0.3">
      <c r="A17" s="8" t="s">
        <v>258</v>
      </c>
      <c r="B17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20</v>
      </c>
    </row>
    <row r="6" spans="1:2" x14ac:dyDescent="0.3">
      <c r="A6" s="8" t="s">
        <v>80</v>
      </c>
      <c r="B6">
        <v>20</v>
      </c>
    </row>
    <row r="7" spans="1:2" x14ac:dyDescent="0.3">
      <c r="A7" s="8" t="s">
        <v>79</v>
      </c>
      <c r="B7">
        <v>20</v>
      </c>
    </row>
    <row r="8" spans="1:2" x14ac:dyDescent="0.3">
      <c r="A8" s="8" t="s">
        <v>76</v>
      </c>
      <c r="B8">
        <v>20</v>
      </c>
    </row>
    <row r="9" spans="1:2" x14ac:dyDescent="0.3">
      <c r="A9" s="8" t="s">
        <v>252</v>
      </c>
      <c r="B9">
        <v>20</v>
      </c>
    </row>
    <row r="10" spans="1:2" x14ac:dyDescent="0.3">
      <c r="A10" s="8" t="s">
        <v>81</v>
      </c>
      <c r="B10">
        <v>20</v>
      </c>
    </row>
    <row r="11" spans="1:2" x14ac:dyDescent="0.3">
      <c r="A11" s="8" t="s">
        <v>82</v>
      </c>
      <c r="B11">
        <v>20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23</v>
      </c>
    </row>
    <row r="16" spans="1:2" x14ac:dyDescent="0.3">
      <c r="A16" s="8" t="s">
        <v>257</v>
      </c>
      <c r="B16">
        <v>51</v>
      </c>
    </row>
    <row r="17" spans="1:2" x14ac:dyDescent="0.3">
      <c r="A17" s="8" t="s">
        <v>258</v>
      </c>
      <c r="B17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10</v>
      </c>
    </row>
    <row r="6" spans="1:2" x14ac:dyDescent="0.3">
      <c r="A6" s="8" t="s">
        <v>80</v>
      </c>
      <c r="B6">
        <v>10</v>
      </c>
    </row>
    <row r="7" spans="1:2" x14ac:dyDescent="0.3">
      <c r="A7" s="8" t="s">
        <v>79</v>
      </c>
      <c r="B7">
        <v>10</v>
      </c>
    </row>
    <row r="8" spans="1:2" x14ac:dyDescent="0.3">
      <c r="A8" s="8" t="s">
        <v>76</v>
      </c>
      <c r="B8">
        <v>10</v>
      </c>
    </row>
    <row r="9" spans="1:2" x14ac:dyDescent="0.3">
      <c r="A9" s="8" t="s">
        <v>252</v>
      </c>
      <c r="B9">
        <v>10</v>
      </c>
    </row>
    <row r="10" spans="1:2" x14ac:dyDescent="0.3">
      <c r="A10" s="8" t="s">
        <v>81</v>
      </c>
      <c r="B10">
        <v>10</v>
      </c>
    </row>
    <row r="11" spans="1:2" x14ac:dyDescent="0.3">
      <c r="A11" s="8" t="s">
        <v>82</v>
      </c>
      <c r="B11">
        <v>10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15</v>
      </c>
    </row>
    <row r="16" spans="1:2" x14ac:dyDescent="0.3">
      <c r="A16" s="8" t="s">
        <v>257</v>
      </c>
      <c r="B16">
        <v>21</v>
      </c>
    </row>
    <row r="17" spans="1:2" x14ac:dyDescent="0.3">
      <c r="A17" s="8" t="s">
        <v>258</v>
      </c>
      <c r="B17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abSelected="1" topLeftCell="H1" zoomScale="87" workbookViewId="0">
      <selection activeCell="D20" sqref="D20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9" t="s">
        <v>262</v>
      </c>
      <c r="C2" s="1" t="str" cm="1">
        <f t="array" ref="C2">_xlfn.IFS(LEN(B2) &lt;= 25, "Short", AND(LEN(B2) &gt; 25, LEN(B2) &lt;= 50), "Medium", LEN(B2) &gt; 50, "Long")</f>
        <v>Long</v>
      </c>
      <c r="D2" t="s">
        <v>80</v>
      </c>
      <c r="E2" s="9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37</v>
      </c>
      <c r="J2" s="4">
        <f>(I2/H2)</f>
        <v>0.52857142857142858</v>
      </c>
    </row>
    <row r="3" spans="1:12" x14ac:dyDescent="0.3">
      <c r="A3" s="1">
        <v>2</v>
      </c>
      <c r="B3" s="9" t="s">
        <v>263</v>
      </c>
      <c r="C3" s="1" t="str" cm="1">
        <f t="array" ref="C3">_xlfn.IFS(LEN(B3) &lt;= 25, "Short", AND(LEN(B3) &gt; 25, LEN(B3) &lt;= 50), "Medium", LEN(B3) &gt; 50, "Long")</f>
        <v>Long</v>
      </c>
      <c r="D3" t="s">
        <v>80</v>
      </c>
      <c r="E3" s="9" t="s">
        <v>80</v>
      </c>
      <c r="F3" s="1" t="b">
        <f t="shared" ref="F3:F66" si="0">IF(D3=E3, TRUE, FALSE)</f>
        <v>1</v>
      </c>
      <c r="L3" s="5"/>
    </row>
    <row r="4" spans="1:12" x14ac:dyDescent="0.3">
      <c r="A4" s="1">
        <v>3</v>
      </c>
      <c r="B4" s="9" t="s">
        <v>264</v>
      </c>
      <c r="C4" s="1" t="str" cm="1">
        <f t="array" ref="C4">_xlfn.IFS(LEN(B4) &lt;= 25, "Short", AND(LEN(B4) &gt; 25, LEN(B4) &lt;= 50), "Medium", LEN(B4) &gt; 50, "Long")</f>
        <v>Long</v>
      </c>
      <c r="D4" t="s">
        <v>80</v>
      </c>
      <c r="E4" s="9" t="s">
        <v>82</v>
      </c>
      <c r="F4" s="1" t="b">
        <f t="shared" si="0"/>
        <v>0</v>
      </c>
      <c r="H4" s="10" t="s">
        <v>237</v>
      </c>
      <c r="I4" s="10"/>
      <c r="J4" s="10"/>
      <c r="K4" s="10"/>
    </row>
    <row r="5" spans="1:12" x14ac:dyDescent="0.3">
      <c r="A5" s="1">
        <v>4</v>
      </c>
      <c r="B5" s="9" t="s">
        <v>265</v>
      </c>
      <c r="C5" s="1" t="str" cm="1">
        <f t="array" ref="C5">_xlfn.IFS(LEN(B5) &lt;= 25, "Short", AND(LEN(B5) &gt; 25, LEN(B5) &lt;= 50), "Medium", LEN(B5) &gt; 50, "Long")</f>
        <v>Long</v>
      </c>
      <c r="D5" t="s">
        <v>80</v>
      </c>
      <c r="E5" s="9" t="s">
        <v>80</v>
      </c>
      <c r="F5" s="1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9" t="s">
        <v>266</v>
      </c>
      <c r="C6" s="1" t="str" cm="1">
        <f t="array" ref="C6">_xlfn.IFS(LEN(B6) &lt;= 25, "Short", AND(LEN(B6) &gt; 25, LEN(B6) &lt;= 50), "Medium", LEN(B6) &gt; 50, "Long")</f>
        <v>Short</v>
      </c>
      <c r="D6" t="s">
        <v>80</v>
      </c>
      <c r="E6" s="9" t="s">
        <v>80</v>
      </c>
      <c r="F6" s="1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8</v>
      </c>
      <c r="K6" s="3">
        <f>J6/I6</f>
        <v>0.8</v>
      </c>
    </row>
    <row r="7" spans="1:12" x14ac:dyDescent="0.3">
      <c r="A7" s="1">
        <v>6</v>
      </c>
      <c r="B7" s="9" t="s">
        <v>9</v>
      </c>
      <c r="C7" s="1" t="str" cm="1">
        <f t="array" ref="C7">_xlfn.IFS(LEN(B7) &lt;= 25, "Short", AND(LEN(B7) &gt; 25, LEN(B7) &lt;= 50), "Medium", LEN(B7) &gt; 50, "Long")</f>
        <v>Medium</v>
      </c>
      <c r="D7" t="s">
        <v>252</v>
      </c>
      <c r="E7" s="9" t="s">
        <v>252</v>
      </c>
      <c r="F7" s="1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6</v>
      </c>
      <c r="K7" s="3">
        <f t="shared" ref="K7:K12" si="3">J7/I7</f>
        <v>0.6</v>
      </c>
    </row>
    <row r="8" spans="1:12" x14ac:dyDescent="0.3">
      <c r="A8" s="1">
        <v>7</v>
      </c>
      <c r="B8" s="9" t="s">
        <v>267</v>
      </c>
      <c r="C8" s="1" t="str" cm="1">
        <f t="array" ref="C8">_xlfn.IFS(LEN(B8) &lt;= 25, "Short", AND(LEN(B8) &gt; 25, LEN(B8) &lt;= 50), "Medium", LEN(B8) &gt; 50, "Long")</f>
        <v>Long</v>
      </c>
      <c r="D8" t="s">
        <v>80</v>
      </c>
      <c r="E8" s="9" t="s">
        <v>77</v>
      </c>
      <c r="F8" s="1" t="b">
        <f t="shared" si="0"/>
        <v>0</v>
      </c>
      <c r="H8" s="1" t="s">
        <v>79</v>
      </c>
      <c r="I8" s="1">
        <f t="shared" si="1"/>
        <v>10</v>
      </c>
      <c r="J8" s="1">
        <f t="shared" si="2"/>
        <v>3</v>
      </c>
      <c r="K8" s="3">
        <f t="shared" si="3"/>
        <v>0.3</v>
      </c>
    </row>
    <row r="9" spans="1:12" x14ac:dyDescent="0.3">
      <c r="A9" s="1">
        <v>8</v>
      </c>
      <c r="B9" s="9" t="s">
        <v>11</v>
      </c>
      <c r="C9" s="1" t="str" cm="1">
        <f t="array" ref="C9">_xlfn.IFS(LEN(B9) &lt;= 25, "Short", AND(LEN(B9) &gt; 25, LEN(B9) &lt;= 50), "Medium", LEN(B9) &gt; 50, "Long")</f>
        <v>Medium</v>
      </c>
      <c r="D9" t="s">
        <v>76</v>
      </c>
      <c r="E9" s="9" t="s">
        <v>76</v>
      </c>
      <c r="F9" s="1" t="b">
        <f t="shared" si="0"/>
        <v>1</v>
      </c>
      <c r="H9" s="1" t="s">
        <v>77</v>
      </c>
      <c r="I9" s="1">
        <f t="shared" si="1"/>
        <v>10</v>
      </c>
      <c r="J9" s="1">
        <f t="shared" si="2"/>
        <v>1</v>
      </c>
      <c r="K9" s="3">
        <f t="shared" si="3"/>
        <v>0.1</v>
      </c>
    </row>
    <row r="10" spans="1:12" x14ac:dyDescent="0.3">
      <c r="A10" s="1">
        <v>9</v>
      </c>
      <c r="B10" s="9" t="s">
        <v>268</v>
      </c>
      <c r="C10" s="1" t="str" cm="1">
        <f t="array" ref="C10">_xlfn.IFS(LEN(B10) &lt;= 25, "Short", AND(LEN(B10) &gt; 25, LEN(B10) &lt;= 50), "Medium", LEN(B10) &gt; 50, "Long")</f>
        <v>Long</v>
      </c>
      <c r="D10" t="s">
        <v>80</v>
      </c>
      <c r="E10" s="9" t="s">
        <v>80</v>
      </c>
      <c r="F10" s="1" t="b">
        <f t="shared" si="0"/>
        <v>1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9" t="s">
        <v>13</v>
      </c>
      <c r="C11" s="1" t="str" cm="1">
        <f t="array" ref="C11">_xlfn.IFS(LEN(B11) &lt;= 25, "Short", AND(LEN(B11) &gt; 25, LEN(B11) &lt;= 50), "Medium", LEN(B11) &gt; 50, "Long")</f>
        <v>Short</v>
      </c>
      <c r="D11" t="s">
        <v>80</v>
      </c>
      <c r="E11" s="9" t="s">
        <v>77</v>
      </c>
      <c r="F11" s="1" t="b">
        <f t="shared" si="0"/>
        <v>0</v>
      </c>
      <c r="H11" s="1" t="s">
        <v>80</v>
      </c>
      <c r="I11" s="1">
        <f t="shared" si="1"/>
        <v>10</v>
      </c>
      <c r="J11" s="1">
        <f t="shared" si="2"/>
        <v>9</v>
      </c>
      <c r="K11" s="3">
        <f t="shared" si="3"/>
        <v>0.9</v>
      </c>
    </row>
    <row r="12" spans="1:12" x14ac:dyDescent="0.3">
      <c r="A12" s="1">
        <v>11</v>
      </c>
      <c r="B12" s="9" t="s">
        <v>14</v>
      </c>
      <c r="C12" s="1" t="str" cm="1">
        <f t="array" ref="C12">_xlfn.IFS(LEN(B12) &lt;= 25, "Short", AND(LEN(B12) &gt; 25, LEN(B12) &lt;= 50), "Medium", LEN(B12) &gt; 50, "Long")</f>
        <v>Short</v>
      </c>
      <c r="D12" t="s">
        <v>76</v>
      </c>
      <c r="E12" s="9" t="s">
        <v>76</v>
      </c>
      <c r="F12" s="1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9" t="s">
        <v>15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9" t="s">
        <v>76</v>
      </c>
      <c r="F13" s="1" t="b">
        <f t="shared" si="0"/>
        <v>1</v>
      </c>
    </row>
    <row r="14" spans="1:12" x14ac:dyDescent="0.3">
      <c r="A14" s="1">
        <v>13</v>
      </c>
      <c r="B14" s="9" t="s">
        <v>269</v>
      </c>
      <c r="C14" s="1" t="str" cm="1">
        <f t="array" ref="C14">_xlfn.IFS(LEN(B14) &lt;= 25, "Short", AND(LEN(B14) &gt; 25, LEN(B14) &lt;= 50), "Medium", LEN(B14) &gt; 50, "Long")</f>
        <v>Medium</v>
      </c>
      <c r="D14" t="s">
        <v>80</v>
      </c>
      <c r="E14" s="9" t="s">
        <v>80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9" t="s">
        <v>270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9" t="s">
        <v>76</v>
      </c>
      <c r="F15" s="1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15</v>
      </c>
      <c r="K15" s="4">
        <f>J15/I15</f>
        <v>0.44117647058823528</v>
      </c>
    </row>
    <row r="16" spans="1:12" x14ac:dyDescent="0.3">
      <c r="A16" s="1">
        <v>15</v>
      </c>
      <c r="B16" s="9" t="s">
        <v>271</v>
      </c>
      <c r="C16" s="1" t="str" cm="1">
        <f t="array" ref="C16">_xlfn.IFS(LEN(B16) &lt;= 25, "Short", AND(LEN(B16) &gt; 25, LEN(B16) &lt;= 50), "Medium", LEN(B16) &gt; 50, "Long")</f>
        <v>Long</v>
      </c>
      <c r="D16" t="s">
        <v>79</v>
      </c>
      <c r="E16" s="9" t="s">
        <v>79</v>
      </c>
      <c r="F16" s="1" t="b">
        <f t="shared" si="0"/>
        <v>1</v>
      </c>
      <c r="H16" s="1" t="s">
        <v>257</v>
      </c>
      <c r="I16" s="1">
        <f>COUNTIF(C2:C71, "Medium")</f>
        <v>21</v>
      </c>
      <c r="J16" s="1">
        <f>COUNTIFS(C2:C71, "Medium", F2:F71, TRUE)</f>
        <v>14</v>
      </c>
      <c r="K16" s="4">
        <f t="shared" ref="K16:K17" si="4">J16/I16</f>
        <v>0.66666666666666663</v>
      </c>
    </row>
    <row r="17" spans="1:11" x14ac:dyDescent="0.3">
      <c r="A17" s="1">
        <v>16</v>
      </c>
      <c r="B17" s="9" t="s">
        <v>272</v>
      </c>
      <c r="C17" s="1" t="str" cm="1">
        <f t="array" ref="C17">_xlfn.IFS(LEN(B17) &lt;= 25, "Short", AND(LEN(B17) &gt; 25, LEN(B17) &lt;= 50), "Medium", LEN(B17) &gt; 50, "Long")</f>
        <v>Short</v>
      </c>
      <c r="D17" t="s">
        <v>80</v>
      </c>
      <c r="E17" s="9" t="s">
        <v>77</v>
      </c>
      <c r="F17" s="1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8</v>
      </c>
      <c r="K17" s="4">
        <f t="shared" si="4"/>
        <v>0.53333333333333333</v>
      </c>
    </row>
    <row r="18" spans="1:11" x14ac:dyDescent="0.3">
      <c r="A18" s="1">
        <v>17</v>
      </c>
      <c r="B18" s="9" t="s">
        <v>273</v>
      </c>
      <c r="C18" s="1" t="str" cm="1">
        <f t="array" ref="C18">_xlfn.IFS(LEN(B18) &lt;= 25, "Short", AND(LEN(B18) &gt; 25, LEN(B18) &lt;= 50), "Medium", LEN(B18) &gt; 50, "Long")</f>
        <v>Long</v>
      </c>
      <c r="D18" t="s">
        <v>80</v>
      </c>
      <c r="E18" s="9" t="s">
        <v>79</v>
      </c>
      <c r="F18" s="1" t="b">
        <f t="shared" si="0"/>
        <v>0</v>
      </c>
    </row>
    <row r="19" spans="1:11" x14ac:dyDescent="0.3">
      <c r="A19" s="1">
        <v>18</v>
      </c>
      <c r="B19" s="9" t="s">
        <v>21</v>
      </c>
      <c r="C19" s="1" t="str" cm="1">
        <f t="array" ref="C19">_xlfn.IFS(LEN(B19) &lt;= 25, "Short", AND(LEN(B19) &gt; 25, LEN(B19) &lt;= 50), "Medium", LEN(B19) &gt; 50, "Long")</f>
        <v>Medium</v>
      </c>
      <c r="D19" t="s">
        <v>252</v>
      </c>
      <c r="E19" s="9" t="s">
        <v>252</v>
      </c>
      <c r="F19" s="1" t="b">
        <f t="shared" si="0"/>
        <v>1</v>
      </c>
      <c r="H19" s="10" t="s">
        <v>247</v>
      </c>
      <c r="I19" s="10"/>
      <c r="J19"/>
      <c r="K19"/>
    </row>
    <row r="20" spans="1:11" x14ac:dyDescent="0.3">
      <c r="A20" s="1">
        <v>19</v>
      </c>
      <c r="B20" s="9" t="s">
        <v>22</v>
      </c>
      <c r="C20" s="1" t="str" cm="1">
        <f t="array" ref="C20">_xlfn.IFS(LEN(B20) &lt;= 25, "Short", AND(LEN(B20) &gt; 25, LEN(B20) &lt;= 50), "Medium", LEN(B20) &gt; 50, "Long")</f>
        <v>Short</v>
      </c>
      <c r="D20" t="s">
        <v>79</v>
      </c>
      <c r="E20" s="9" t="s">
        <v>80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20</v>
      </c>
      <c r="B21" s="9" t="s">
        <v>274</v>
      </c>
      <c r="C21" s="1" t="str" cm="1">
        <f t="array" ref="C21">_xlfn.IFS(LEN(B21) &lt;= 25, "Short", AND(LEN(B21) &gt; 25, LEN(B21) &lt;= 50), "Medium", LEN(B21) &gt; 50, "Long")</f>
        <v>Short</v>
      </c>
      <c r="D21" t="s">
        <v>80</v>
      </c>
      <c r="E21" s="9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0</v>
      </c>
      <c r="K21" s="6">
        <f>J21/I11</f>
        <v>0</v>
      </c>
    </row>
    <row r="22" spans="1:11" x14ac:dyDescent="0.3">
      <c r="A22" s="1">
        <v>21</v>
      </c>
      <c r="B22" s="9" t="s">
        <v>24</v>
      </c>
      <c r="C22" s="1" t="str" cm="1">
        <f t="array" ref="C22">_xlfn.IFS(LEN(B22) &lt;= 25, "Short", AND(LEN(B22) &gt; 25, LEN(B22) &lt;= 50), "Medium", LEN(B22) &gt; 50, "Long")</f>
        <v>Short</v>
      </c>
      <c r="D22" t="s">
        <v>80</v>
      </c>
      <c r="E22" s="9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22</v>
      </c>
      <c r="B23" s="9" t="s">
        <v>275</v>
      </c>
      <c r="C23" s="1" t="str" cm="1">
        <f t="array" ref="C23">_xlfn.IFS(LEN(B23) &lt;= 25, "Short", AND(LEN(B23) &gt; 25, LEN(B23) &lt;= 50), "Medium", LEN(B23) &gt; 50, "Long")</f>
        <v>Short</v>
      </c>
      <c r="D23" t="s">
        <v>76</v>
      </c>
      <c r="E23" s="9" t="s">
        <v>81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7</v>
      </c>
      <c r="K23" s="6">
        <f>J23/I9</f>
        <v>0.7</v>
      </c>
    </row>
    <row r="24" spans="1:11" x14ac:dyDescent="0.3">
      <c r="A24" s="1">
        <v>23</v>
      </c>
      <c r="B24" s="9" t="s">
        <v>26</v>
      </c>
      <c r="C24" s="1" t="str" cm="1">
        <f t="array" ref="C24">_xlfn.IFS(LEN(B24) &lt;= 25, "Short", AND(LEN(B24) &gt; 25, LEN(B24) &lt;= 50), "Medium", LEN(B24) &gt; 50, "Long")</f>
        <v>Short</v>
      </c>
      <c r="D24" t="s">
        <v>80</v>
      </c>
      <c r="E24" s="9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24</v>
      </c>
      <c r="B25" s="9" t="s">
        <v>276</v>
      </c>
      <c r="C25" s="1" t="str" cm="1">
        <f t="array" ref="C25">_xlfn.IFS(LEN(B25) &lt;= 25, "Short", AND(LEN(B25) &gt; 25, LEN(B25) &lt;= 50), "Medium", LEN(B25) &gt; 50, "Long")</f>
        <v>Short</v>
      </c>
      <c r="D25" t="s">
        <v>81</v>
      </c>
      <c r="E25" s="9" t="s">
        <v>81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25</v>
      </c>
      <c r="B26" s="9" t="s">
        <v>277</v>
      </c>
      <c r="C26" s="1" t="str" cm="1">
        <f t="array" ref="C26">_xlfn.IFS(LEN(B26) &lt;= 25, "Short", AND(LEN(B26) &gt; 25, LEN(B26) &lt;= 50), "Medium", LEN(B26) &gt; 50, "Long")</f>
        <v>Short</v>
      </c>
      <c r="D26" t="s">
        <v>80</v>
      </c>
      <c r="E26" s="9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0.1</v>
      </c>
    </row>
    <row r="27" spans="1:11" x14ac:dyDescent="0.3">
      <c r="A27" s="1">
        <v>26</v>
      </c>
      <c r="B27" s="9" t="s">
        <v>278</v>
      </c>
      <c r="C27" s="1" t="str" cm="1">
        <f t="array" ref="C27">_xlfn.IFS(LEN(B27) &lt;= 25, "Short", AND(LEN(B27) &gt; 25, LEN(B27) &lt;= 50), "Medium", LEN(B27) &gt; 50, "Long")</f>
        <v>Medium</v>
      </c>
      <c r="D27" t="s">
        <v>80</v>
      </c>
      <c r="E27" s="9" t="s">
        <v>79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27</v>
      </c>
      <c r="B28" s="9" t="s">
        <v>30</v>
      </c>
      <c r="C28" s="1" t="str" cm="1">
        <f t="array" ref="C28">_xlfn.IFS(LEN(B28) &lt;= 25, "Short", AND(LEN(B28) &gt; 25, LEN(B28) &lt;= 50), "Medium", LEN(B28) &gt; 50, "Long")</f>
        <v>Medium</v>
      </c>
      <c r="D28" t="s">
        <v>76</v>
      </c>
      <c r="E28" s="9" t="s">
        <v>76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28</v>
      </c>
      <c r="B29" s="9" t="s">
        <v>31</v>
      </c>
      <c r="C29" s="1" t="str" cm="1">
        <f t="array" ref="C29">_xlfn.IFS(LEN(B29) &lt;= 25, "Short", AND(LEN(B29) &gt; 25, LEN(B29) &lt;= 50), "Medium", LEN(B29) &gt; 50, "Long")</f>
        <v>Short</v>
      </c>
      <c r="D29" t="s">
        <v>252</v>
      </c>
      <c r="E29" s="9" t="s">
        <v>79</v>
      </c>
      <c r="F29" s="1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29</v>
      </c>
      <c r="B30" s="9" t="s">
        <v>32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9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30</v>
      </c>
      <c r="B31" s="9" t="s">
        <v>279</v>
      </c>
      <c r="C31" s="1" t="str" cm="1">
        <f t="array" ref="C31">_xlfn.IFS(LEN(B31) &lt;= 25, "Short", AND(LEN(B31) &gt; 25, LEN(B31) &lt;= 50), "Medium", LEN(B31) &gt; 50, "Long")</f>
        <v>Long</v>
      </c>
      <c r="D31" t="s">
        <v>252</v>
      </c>
      <c r="E31" s="9" t="s">
        <v>252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31</v>
      </c>
      <c r="B32" s="9" t="s">
        <v>280</v>
      </c>
      <c r="C32" s="1" t="str" cm="1">
        <f t="array" ref="C32">_xlfn.IFS(LEN(B32) &lt;= 25, "Short", AND(LEN(B32) &gt; 25, LEN(B32) &lt;= 50), "Medium", LEN(B32) &gt; 50, "Long")</f>
        <v>Long</v>
      </c>
      <c r="D32" t="s">
        <v>79</v>
      </c>
      <c r="E32" s="9" t="s">
        <v>77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32</v>
      </c>
      <c r="B33" s="9" t="s">
        <v>35</v>
      </c>
      <c r="C33" s="1" t="str" cm="1">
        <f t="array" ref="C33">_xlfn.IFS(LEN(B33) &lt;= 25, "Short", AND(LEN(B33) &gt; 25, LEN(B33) &lt;= 50), "Medium", LEN(B33) &gt; 50, "Long")</f>
        <v>Medium</v>
      </c>
      <c r="D33" t="s">
        <v>76</v>
      </c>
      <c r="E33" s="9" t="s">
        <v>76</v>
      </c>
      <c r="F33" s="1" t="b">
        <f t="shared" si="0"/>
        <v>1</v>
      </c>
    </row>
    <row r="34" spans="1:6" x14ac:dyDescent="0.3">
      <c r="A34" s="1">
        <v>33</v>
      </c>
      <c r="B34" s="9" t="s">
        <v>281</v>
      </c>
      <c r="C34" s="1" t="str" cm="1">
        <f t="array" ref="C34">_xlfn.IFS(LEN(B34) &lt;= 25, "Short", AND(LEN(B34) &gt; 25, LEN(B34) &lt;= 50), "Medium", LEN(B34) &gt; 50, "Long")</f>
        <v>Medium</v>
      </c>
      <c r="D34" t="s">
        <v>80</v>
      </c>
      <c r="E34" s="9" t="s">
        <v>77</v>
      </c>
      <c r="F34" s="1" t="b">
        <f t="shared" si="0"/>
        <v>0</v>
      </c>
    </row>
    <row r="35" spans="1:6" x14ac:dyDescent="0.3">
      <c r="A35" s="1">
        <v>34</v>
      </c>
      <c r="B35" s="9" t="s">
        <v>37</v>
      </c>
      <c r="C35" s="1" t="str" cm="1">
        <f t="array" ref="C35">_xlfn.IFS(LEN(B35) &lt;= 25, "Short", AND(LEN(B35) &gt; 25, LEN(B35) &lt;= 50), "Medium", LEN(B35) &gt; 50, "Long")</f>
        <v>Short</v>
      </c>
      <c r="D35" t="s">
        <v>80</v>
      </c>
      <c r="E35" s="9" t="s">
        <v>80</v>
      </c>
      <c r="F35" s="1" t="b">
        <f t="shared" si="0"/>
        <v>1</v>
      </c>
    </row>
    <row r="36" spans="1:6" x14ac:dyDescent="0.3">
      <c r="A36" s="1">
        <v>35</v>
      </c>
      <c r="B36" s="9" t="s">
        <v>282</v>
      </c>
      <c r="C36" s="1" t="str" cm="1">
        <f t="array" ref="C36">_xlfn.IFS(LEN(B36) &lt;= 25, "Short", AND(LEN(B36) &gt; 25, LEN(B36) &lt;= 50), "Medium", LEN(B36) &gt; 50, "Long")</f>
        <v>Medium</v>
      </c>
      <c r="D36" t="s">
        <v>80</v>
      </c>
      <c r="E36" s="9" t="s">
        <v>80</v>
      </c>
      <c r="F36" s="1" t="b">
        <f t="shared" si="0"/>
        <v>1</v>
      </c>
    </row>
    <row r="37" spans="1:6" x14ac:dyDescent="0.3">
      <c r="A37" s="1">
        <v>36</v>
      </c>
      <c r="B37" s="9" t="s">
        <v>283</v>
      </c>
      <c r="C37" s="1" t="str" cm="1">
        <f t="array" ref="C37">_xlfn.IFS(LEN(B37) &lt;= 25, "Short", AND(LEN(B37) &gt; 25, LEN(B37) &lt;= 50), "Medium", LEN(B37) &gt; 50, "Long")</f>
        <v>Short</v>
      </c>
      <c r="D37" t="s">
        <v>80</v>
      </c>
      <c r="E37" s="9" t="s">
        <v>81</v>
      </c>
      <c r="F37" s="1" t="b">
        <f t="shared" si="0"/>
        <v>0</v>
      </c>
    </row>
    <row r="38" spans="1:6" x14ac:dyDescent="0.3">
      <c r="A38" s="1">
        <v>37</v>
      </c>
      <c r="B38" s="9" t="s">
        <v>284</v>
      </c>
      <c r="C38" s="1" t="str" cm="1">
        <f t="array" ref="C38">_xlfn.IFS(LEN(B38) &lt;= 25, "Short", AND(LEN(B38) &gt; 25, LEN(B38) &lt;= 50), "Medium", LEN(B38) &gt; 50, "Long")</f>
        <v>Short</v>
      </c>
      <c r="D38" t="s">
        <v>80</v>
      </c>
      <c r="E38" s="9" t="s">
        <v>252</v>
      </c>
      <c r="F38" s="1" t="b">
        <f t="shared" si="0"/>
        <v>0</v>
      </c>
    </row>
    <row r="39" spans="1:6" x14ac:dyDescent="0.3">
      <c r="A39" s="1">
        <v>38</v>
      </c>
      <c r="B39" s="9" t="s">
        <v>285</v>
      </c>
      <c r="C39" s="1" t="str" cm="1">
        <f t="array" ref="C39">_xlfn.IFS(LEN(B39) &lt;= 25, "Short", AND(LEN(B39) &gt; 25, LEN(B39) &lt;= 50), "Medium", LEN(B39) &gt; 50, "Long")</f>
        <v>Short</v>
      </c>
      <c r="D39" t="s">
        <v>79</v>
      </c>
      <c r="E39" s="9" t="s">
        <v>79</v>
      </c>
      <c r="F39" s="1" t="b">
        <f t="shared" si="0"/>
        <v>1</v>
      </c>
    </row>
    <row r="40" spans="1:6" x14ac:dyDescent="0.3">
      <c r="A40" s="1">
        <v>39</v>
      </c>
      <c r="B40" s="9" t="s">
        <v>42</v>
      </c>
      <c r="C40" s="1" t="str" cm="1">
        <f t="array" ref="C40">_xlfn.IFS(LEN(B40) &lt;= 25, "Short", AND(LEN(B40) &gt; 25, LEN(B40) &lt;= 50), "Medium", LEN(B40) &gt; 50, "Long")</f>
        <v>Short</v>
      </c>
      <c r="D40" t="s">
        <v>80</v>
      </c>
      <c r="E40" s="9" t="s">
        <v>82</v>
      </c>
      <c r="F40" s="1" t="b">
        <f t="shared" si="0"/>
        <v>0</v>
      </c>
    </row>
    <row r="41" spans="1:6" x14ac:dyDescent="0.3">
      <c r="A41" s="1">
        <v>40</v>
      </c>
      <c r="B41" s="9" t="s">
        <v>286</v>
      </c>
      <c r="C41" s="1" t="str" cm="1">
        <f t="array" ref="C41">_xlfn.IFS(LEN(B41) &lt;= 25, "Short", AND(LEN(B41) &gt; 25, LEN(B41) &lt;= 50), "Medium", LEN(B41) &gt; 50, "Long")</f>
        <v>Short</v>
      </c>
      <c r="D41" t="s">
        <v>79</v>
      </c>
      <c r="E41" s="9" t="s">
        <v>82</v>
      </c>
      <c r="F41" s="1" t="b">
        <f t="shared" si="0"/>
        <v>0</v>
      </c>
    </row>
    <row r="42" spans="1:6" x14ac:dyDescent="0.3">
      <c r="A42" s="1">
        <v>41</v>
      </c>
      <c r="B42" s="9" t="s">
        <v>44</v>
      </c>
      <c r="C42" s="1" t="str" cm="1">
        <f t="array" ref="C42">_xlfn.IFS(LEN(B42) &lt;= 25, "Short", AND(LEN(B42) &gt; 25, LEN(B42) &lt;= 50), "Medium", LEN(B42) &gt; 50, "Long")</f>
        <v>Medium</v>
      </c>
      <c r="D42" t="s">
        <v>252</v>
      </c>
      <c r="E42" s="9" t="s">
        <v>81</v>
      </c>
      <c r="F42" s="1" t="b">
        <f t="shared" si="0"/>
        <v>0</v>
      </c>
    </row>
    <row r="43" spans="1:6" x14ac:dyDescent="0.3">
      <c r="A43" s="1">
        <v>42</v>
      </c>
      <c r="B43" s="9" t="s">
        <v>287</v>
      </c>
      <c r="C43" s="1" t="str" cm="1">
        <f t="array" ref="C43">_xlfn.IFS(LEN(B43) &lt;= 25, "Short", AND(LEN(B43) &gt; 25, LEN(B43) &lt;= 50), "Medium", LEN(B43) &gt; 50, "Long")</f>
        <v>Short</v>
      </c>
      <c r="D43" t="s">
        <v>81</v>
      </c>
      <c r="E43" s="9" t="s">
        <v>81</v>
      </c>
      <c r="F43" s="1" t="b">
        <f t="shared" si="0"/>
        <v>1</v>
      </c>
    </row>
    <row r="44" spans="1:6" x14ac:dyDescent="0.3">
      <c r="A44" s="1">
        <v>43</v>
      </c>
      <c r="B44" s="9" t="s">
        <v>46</v>
      </c>
      <c r="C44" s="1" t="str" cm="1">
        <f t="array" ref="C44">_xlfn.IFS(LEN(B44) &lt;= 25, "Short", AND(LEN(B44) &gt; 25, LEN(B44) &lt;= 50), "Medium", LEN(B44) &gt; 50, "Long")</f>
        <v>Short</v>
      </c>
      <c r="D44" t="s">
        <v>80</v>
      </c>
      <c r="E44" s="9" t="s">
        <v>80</v>
      </c>
      <c r="F44" s="1" t="b">
        <f t="shared" si="0"/>
        <v>1</v>
      </c>
    </row>
    <row r="45" spans="1:6" x14ac:dyDescent="0.3">
      <c r="A45" s="1">
        <v>44</v>
      </c>
      <c r="B45" s="9" t="s">
        <v>288</v>
      </c>
      <c r="C45" s="1" t="str" cm="1">
        <f t="array" ref="C45">_xlfn.IFS(LEN(B45) &lt;= 25, "Short", AND(LEN(B45) &gt; 25, LEN(B45) &lt;= 50), "Medium", LEN(B45) &gt; 50, "Long")</f>
        <v>Long</v>
      </c>
      <c r="D45" t="s">
        <v>252</v>
      </c>
      <c r="E45" s="9" t="s">
        <v>252</v>
      </c>
      <c r="F45" s="1" t="b">
        <f t="shared" si="0"/>
        <v>1</v>
      </c>
    </row>
    <row r="46" spans="1:6" x14ac:dyDescent="0.3">
      <c r="A46" s="1">
        <v>45</v>
      </c>
      <c r="B46" s="9" t="s">
        <v>48</v>
      </c>
      <c r="C46" s="1" t="str" cm="1">
        <f t="array" ref="C46">_xlfn.IFS(LEN(B46) &lt;= 25, "Short", AND(LEN(B46) &gt; 25, LEN(B46) &lt;= 50), "Medium", LEN(B46) &gt; 50, "Long")</f>
        <v>Short</v>
      </c>
      <c r="D46" t="s">
        <v>81</v>
      </c>
      <c r="E46" s="9" t="s">
        <v>81</v>
      </c>
      <c r="F46" s="1" t="b">
        <f t="shared" si="0"/>
        <v>1</v>
      </c>
    </row>
    <row r="47" spans="1:6" x14ac:dyDescent="0.3">
      <c r="A47" s="1">
        <v>46</v>
      </c>
      <c r="B47" s="9" t="s">
        <v>289</v>
      </c>
      <c r="C47" s="1" t="str" cm="1">
        <f t="array" ref="C47">_xlfn.IFS(LEN(B47) &lt;= 25, "Short", AND(LEN(B47) &gt; 25, LEN(B47) &lt;= 50), "Medium", LEN(B47) &gt; 50, "Long")</f>
        <v>Medium</v>
      </c>
      <c r="D47" t="s">
        <v>80</v>
      </c>
      <c r="E47" s="9" t="s">
        <v>82</v>
      </c>
      <c r="F47" s="1" t="b">
        <f t="shared" si="0"/>
        <v>0</v>
      </c>
    </row>
    <row r="48" spans="1:6" x14ac:dyDescent="0.3">
      <c r="A48" s="1">
        <v>47</v>
      </c>
      <c r="B48" s="9" t="s">
        <v>50</v>
      </c>
      <c r="C48" s="1" t="str" cm="1">
        <f t="array" ref="C48">_xlfn.IFS(LEN(B48) &lt;= 25, "Short", AND(LEN(B48) &gt; 25, LEN(B48) &lt;= 50), "Medium", LEN(B48) &gt; 50, "Long")</f>
        <v>Short</v>
      </c>
      <c r="D48" t="s">
        <v>80</v>
      </c>
      <c r="E48" s="9" t="s">
        <v>79</v>
      </c>
      <c r="F48" s="1" t="b">
        <f t="shared" si="0"/>
        <v>0</v>
      </c>
    </row>
    <row r="49" spans="1:6" x14ac:dyDescent="0.3">
      <c r="A49" s="1">
        <v>48</v>
      </c>
      <c r="B49" s="9" t="s">
        <v>51</v>
      </c>
      <c r="C49" s="1" t="str" cm="1">
        <f t="array" ref="C49">_xlfn.IFS(LEN(B49) &lt;= 25, "Short", AND(LEN(B49) &gt; 25, LEN(B49) &lt;= 50), "Medium", LEN(B49) &gt; 50, "Long")</f>
        <v>Long</v>
      </c>
      <c r="D49" t="s">
        <v>79</v>
      </c>
      <c r="E49" s="9" t="s">
        <v>81</v>
      </c>
      <c r="F49" s="1" t="b">
        <f t="shared" si="0"/>
        <v>0</v>
      </c>
    </row>
    <row r="50" spans="1:6" x14ac:dyDescent="0.3">
      <c r="A50" s="1">
        <v>49</v>
      </c>
      <c r="B50" s="9" t="s">
        <v>52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9" t="s">
        <v>81</v>
      </c>
      <c r="F50" s="1" t="b">
        <f t="shared" si="0"/>
        <v>1</v>
      </c>
    </row>
    <row r="51" spans="1:6" x14ac:dyDescent="0.3">
      <c r="A51" s="1">
        <v>50</v>
      </c>
      <c r="B51" s="9" t="s">
        <v>290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9" t="s">
        <v>77</v>
      </c>
      <c r="F51" s="1" t="b">
        <f t="shared" si="0"/>
        <v>1</v>
      </c>
    </row>
    <row r="52" spans="1:6" x14ac:dyDescent="0.3">
      <c r="A52" s="1">
        <v>51</v>
      </c>
      <c r="B52" s="9" t="s">
        <v>54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9" t="s">
        <v>76</v>
      </c>
      <c r="F52" s="1" t="b">
        <f t="shared" si="0"/>
        <v>1</v>
      </c>
    </row>
    <row r="53" spans="1:6" x14ac:dyDescent="0.3">
      <c r="A53" s="1">
        <v>52</v>
      </c>
      <c r="B53" s="9" t="s">
        <v>55</v>
      </c>
      <c r="C53" s="1" t="str" cm="1">
        <f t="array" ref="C53">_xlfn.IFS(LEN(B53) &lt;= 25, "Short", AND(LEN(B53) &gt; 25, LEN(B53) &lt;= 50), "Medium", LEN(B53) &gt; 50, "Long")</f>
        <v>Short</v>
      </c>
      <c r="D53" t="s">
        <v>80</v>
      </c>
      <c r="E53" s="9" t="s">
        <v>82</v>
      </c>
      <c r="F53" s="1" t="b">
        <f t="shared" si="0"/>
        <v>0</v>
      </c>
    </row>
    <row r="54" spans="1:6" x14ac:dyDescent="0.3">
      <c r="A54" s="1">
        <v>53</v>
      </c>
      <c r="B54" s="9" t="s">
        <v>291</v>
      </c>
      <c r="C54" s="1" t="str" cm="1">
        <f t="array" ref="C54">_xlfn.IFS(LEN(B54) &lt;= 25, "Short", AND(LEN(B54) &gt; 25, LEN(B54) &lt;= 50), "Medium", LEN(B54) &gt; 50, "Long")</f>
        <v>Short</v>
      </c>
      <c r="D54" t="s">
        <v>79</v>
      </c>
      <c r="E54" s="9" t="s">
        <v>77</v>
      </c>
      <c r="F54" s="1" t="b">
        <f t="shared" si="0"/>
        <v>0</v>
      </c>
    </row>
    <row r="55" spans="1:6" x14ac:dyDescent="0.3">
      <c r="A55" s="1">
        <v>54</v>
      </c>
      <c r="B55" s="9" t="s">
        <v>292</v>
      </c>
      <c r="C55" s="1" t="str" cm="1">
        <f t="array" ref="C55">_xlfn.IFS(LEN(B55) &lt;= 25, "Short", AND(LEN(B55) &gt; 25, LEN(B55) &lt;= 50), "Medium", LEN(B55) &gt; 50, "Long")</f>
        <v>Medium</v>
      </c>
      <c r="D55" t="s">
        <v>80</v>
      </c>
      <c r="E55" s="9" t="s">
        <v>79</v>
      </c>
      <c r="F55" s="1" t="b">
        <f t="shared" si="0"/>
        <v>0</v>
      </c>
    </row>
    <row r="56" spans="1:6" x14ac:dyDescent="0.3">
      <c r="A56" s="1">
        <v>55</v>
      </c>
      <c r="B56" s="9" t="s">
        <v>293</v>
      </c>
      <c r="C56" s="1" t="str" cm="1">
        <f t="array" ref="C56">_xlfn.IFS(LEN(B56) &lt;= 25, "Short", AND(LEN(B56) &gt; 25, LEN(B56) &lt;= 50), "Medium", LEN(B56) &gt; 50, "Long")</f>
        <v>Long</v>
      </c>
      <c r="D56" t="s">
        <v>252</v>
      </c>
      <c r="E56" s="9" t="s">
        <v>252</v>
      </c>
      <c r="F56" s="1" t="b">
        <f t="shared" si="0"/>
        <v>1</v>
      </c>
    </row>
    <row r="57" spans="1:6" x14ac:dyDescent="0.3">
      <c r="A57" s="1">
        <v>56</v>
      </c>
      <c r="B57" s="9" t="s">
        <v>294</v>
      </c>
      <c r="C57" s="1" t="str" cm="1">
        <f t="array" ref="C57">_xlfn.IFS(LEN(B57) &lt;= 25, "Short", AND(LEN(B57) &gt; 25, LEN(B57) &lt;= 50), "Medium", LEN(B57) &gt; 50, "Long")</f>
        <v>Medium</v>
      </c>
      <c r="D57" t="s">
        <v>80</v>
      </c>
      <c r="E57" s="9" t="s">
        <v>77</v>
      </c>
      <c r="F57" s="1" t="b">
        <f t="shared" si="0"/>
        <v>0</v>
      </c>
    </row>
    <row r="58" spans="1:6" x14ac:dyDescent="0.3">
      <c r="A58" s="1">
        <v>57</v>
      </c>
      <c r="B58" s="9" t="s">
        <v>295</v>
      </c>
      <c r="C58" s="1" t="str" cm="1">
        <f t="array" ref="C58">_xlfn.IFS(LEN(B58) &lt;= 25, "Short", AND(LEN(B58) &gt; 25, LEN(B58) &lt;= 50), "Medium", LEN(B58) &gt; 50, "Long")</f>
        <v>Medium</v>
      </c>
      <c r="D58" t="s">
        <v>252</v>
      </c>
      <c r="E58" s="9" t="s">
        <v>82</v>
      </c>
      <c r="F58" s="1" t="b">
        <f t="shared" si="0"/>
        <v>0</v>
      </c>
    </row>
    <row r="59" spans="1:6" x14ac:dyDescent="0.3">
      <c r="A59" s="1">
        <v>58</v>
      </c>
      <c r="B59" s="9" t="s">
        <v>61</v>
      </c>
      <c r="C59" s="1" t="str" cm="1">
        <f t="array" ref="C59">_xlfn.IFS(LEN(B59) &lt;= 25, "Short", AND(LEN(B59) &gt; 25, LEN(B59) &lt;= 50), "Medium", LEN(B59) &gt; 50, "Long")</f>
        <v>Short</v>
      </c>
      <c r="D59" t="s">
        <v>81</v>
      </c>
      <c r="E59" s="9" t="s">
        <v>81</v>
      </c>
      <c r="F59" s="1" t="b">
        <f t="shared" si="0"/>
        <v>1</v>
      </c>
    </row>
    <row r="60" spans="1:6" x14ac:dyDescent="0.3">
      <c r="A60" s="1">
        <v>59</v>
      </c>
      <c r="B60" s="9" t="s">
        <v>296</v>
      </c>
      <c r="C60" s="1" t="str" cm="1">
        <f t="array" ref="C60">_xlfn.IFS(LEN(B60) &lt;= 25, "Short", AND(LEN(B60) &gt; 25, LEN(B60) &lt;= 50), "Medium", LEN(B60) &gt; 50, "Long")</f>
        <v>Short</v>
      </c>
      <c r="D60" t="s">
        <v>80</v>
      </c>
      <c r="E60" s="9" t="s">
        <v>79</v>
      </c>
      <c r="F60" s="1" t="b">
        <f t="shared" si="0"/>
        <v>0</v>
      </c>
    </row>
    <row r="61" spans="1:6" x14ac:dyDescent="0.3">
      <c r="A61" s="1">
        <v>60</v>
      </c>
      <c r="B61" s="9" t="s">
        <v>63</v>
      </c>
      <c r="C61" s="1" t="str" cm="1">
        <f t="array" ref="C61">_xlfn.IFS(LEN(B61) &lt;= 25, "Short", AND(LEN(B61) &gt; 25, LEN(B61) &lt;= 50), "Medium", LEN(B61) &gt; 50, "Long")</f>
        <v>Medium</v>
      </c>
      <c r="D61" t="s">
        <v>252</v>
      </c>
      <c r="E61" s="9" t="s">
        <v>252</v>
      </c>
      <c r="F61" s="1" t="b">
        <f t="shared" si="0"/>
        <v>1</v>
      </c>
    </row>
    <row r="62" spans="1:6" x14ac:dyDescent="0.3">
      <c r="A62" s="1">
        <v>61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9" t="s">
        <v>252</v>
      </c>
      <c r="F62" s="1" t="b">
        <f t="shared" si="0"/>
        <v>1</v>
      </c>
    </row>
    <row r="63" spans="1:6" x14ac:dyDescent="0.3">
      <c r="A63" s="1">
        <v>62</v>
      </c>
      <c r="B63" s="9" t="s">
        <v>297</v>
      </c>
      <c r="C63" s="1" t="str" cm="1">
        <f t="array" ref="C63">_xlfn.IFS(LEN(B63) &lt;= 25, "Short", AND(LEN(B63) &gt; 25, LEN(B63) &lt;= 50), "Medium", LEN(B63) &gt; 50, "Long")</f>
        <v>Short</v>
      </c>
      <c r="D63" t="s">
        <v>81</v>
      </c>
      <c r="E63" s="9" t="s">
        <v>81</v>
      </c>
      <c r="F63" s="1" t="b">
        <f t="shared" si="0"/>
        <v>1</v>
      </c>
    </row>
    <row r="64" spans="1:6" x14ac:dyDescent="0.3">
      <c r="A64" s="1">
        <v>63</v>
      </c>
      <c r="B64" s="9" t="s">
        <v>298</v>
      </c>
      <c r="C64" s="1" t="str" cm="1">
        <f t="array" ref="C64">_xlfn.IFS(LEN(B64) &lt;= 25, "Short", AND(LEN(B64) &gt; 25, LEN(B64) &lt;= 50), "Medium", LEN(B64) &gt; 50, "Long")</f>
        <v>Long</v>
      </c>
      <c r="D64" t="s">
        <v>252</v>
      </c>
      <c r="E64" s="9" t="s">
        <v>252</v>
      </c>
      <c r="F64" s="1" t="b">
        <f t="shared" si="0"/>
        <v>1</v>
      </c>
    </row>
    <row r="65" spans="1:6" x14ac:dyDescent="0.3">
      <c r="A65" s="1">
        <v>64</v>
      </c>
      <c r="B65" s="9" t="s">
        <v>67</v>
      </c>
      <c r="C65" s="1" t="str" cm="1">
        <f t="array" ref="C65">_xlfn.IFS(LEN(B65) &lt;= 25, "Short", AND(LEN(B65) &gt; 25, LEN(B65) &lt;= 50), "Medium", LEN(B65) &gt; 50, "Long")</f>
        <v>Medium</v>
      </c>
      <c r="D65" t="s">
        <v>76</v>
      </c>
      <c r="E65" s="9" t="s">
        <v>76</v>
      </c>
      <c r="F65" s="1" t="b">
        <f t="shared" si="0"/>
        <v>1</v>
      </c>
    </row>
    <row r="66" spans="1:6" x14ac:dyDescent="0.3">
      <c r="A66" s="1">
        <v>65</v>
      </c>
      <c r="B66" s="9" t="s">
        <v>68</v>
      </c>
      <c r="C66" s="1" t="str" cm="1">
        <f t="array" ref="C66">_xlfn.IFS(LEN(B66) &lt;= 25, "Short", AND(LEN(B66) &gt; 25, LEN(B66) &lt;= 50), "Medium", LEN(B66) &gt; 50, "Long")</f>
        <v>Medium</v>
      </c>
      <c r="D66" t="s">
        <v>79</v>
      </c>
      <c r="E66" s="9" t="s">
        <v>79</v>
      </c>
      <c r="F66" s="1" t="b">
        <f t="shared" si="0"/>
        <v>1</v>
      </c>
    </row>
    <row r="67" spans="1:6" x14ac:dyDescent="0.3">
      <c r="A67" s="1">
        <v>66</v>
      </c>
      <c r="B67" s="9" t="s">
        <v>299</v>
      </c>
      <c r="C67" s="1" t="str" cm="1">
        <f t="array" ref="C67">_xlfn.IFS(LEN(B67) &lt;= 25, "Short", AND(LEN(B67) &gt; 25, LEN(B67) &lt;= 50), "Medium", LEN(B67) &gt; 50, "Long")</f>
        <v>Long</v>
      </c>
      <c r="D67" t="s">
        <v>80</v>
      </c>
      <c r="E67" s="9" t="s">
        <v>82</v>
      </c>
      <c r="F67" s="1" t="b">
        <f t="shared" ref="F67:F71" si="7">IF(D67=E67, TRUE, FALSE)</f>
        <v>0</v>
      </c>
    </row>
    <row r="68" spans="1:6" x14ac:dyDescent="0.3">
      <c r="A68" s="1">
        <v>67</v>
      </c>
      <c r="B68" s="9" t="s">
        <v>300</v>
      </c>
      <c r="C68" s="1" t="str" cm="1">
        <f t="array" ref="C68">_xlfn.IFS(LEN(B68) &lt;= 25, "Short", AND(LEN(B68) &gt; 25, LEN(B68) &lt;= 50), "Medium", LEN(B68) &gt; 50, "Long")</f>
        <v>Short</v>
      </c>
      <c r="D68" t="s">
        <v>80</v>
      </c>
      <c r="E68" s="9" t="s">
        <v>77</v>
      </c>
      <c r="F68" s="1" t="b">
        <f t="shared" si="7"/>
        <v>0</v>
      </c>
    </row>
    <row r="69" spans="1:6" x14ac:dyDescent="0.3">
      <c r="A69" s="1">
        <v>68</v>
      </c>
      <c r="B69" s="9" t="s">
        <v>301</v>
      </c>
      <c r="C69" s="1" t="str" cm="1">
        <f t="array" ref="C69">_xlfn.IFS(LEN(B69) &lt;= 25, "Short", AND(LEN(B69) &gt; 25, LEN(B69) &lt;= 50), "Medium", LEN(B69) &gt; 50, "Long")</f>
        <v>Short</v>
      </c>
      <c r="D69" t="s">
        <v>80</v>
      </c>
      <c r="E69" s="9" t="s">
        <v>77</v>
      </c>
      <c r="F69" s="1" t="b">
        <f t="shared" si="7"/>
        <v>0</v>
      </c>
    </row>
    <row r="70" spans="1:6" x14ac:dyDescent="0.3">
      <c r="A70" s="1">
        <v>69</v>
      </c>
      <c r="B70" s="9" t="s">
        <v>302</v>
      </c>
      <c r="C70" s="1" t="str" cm="1">
        <f t="array" ref="C70">_xlfn.IFS(LEN(B70) &lt;= 25, "Short", AND(LEN(B70) &gt; 25, LEN(B70) &lt;= 50), "Medium", LEN(B70) &gt; 50, "Long")</f>
        <v>Short</v>
      </c>
      <c r="D70" t="s">
        <v>80</v>
      </c>
      <c r="E70" s="9" t="s">
        <v>80</v>
      </c>
      <c r="F70" s="1" t="b">
        <f t="shared" si="7"/>
        <v>1</v>
      </c>
    </row>
    <row r="71" spans="1:6" x14ac:dyDescent="0.3">
      <c r="A71" s="1">
        <v>70</v>
      </c>
      <c r="B71" s="9" t="s">
        <v>303</v>
      </c>
      <c r="C71" s="1" t="str" cm="1">
        <f t="array" ref="C71">_xlfn.IFS(LEN(B71) &lt;= 25, "Short", AND(LEN(B71) &gt; 25, LEN(B71) &lt;= 50), "Medium", LEN(B71) &gt; 50, "Long")</f>
        <v>Short</v>
      </c>
      <c r="D71" t="s">
        <v>76</v>
      </c>
      <c r="E71" s="9" t="s">
        <v>76</v>
      </c>
      <c r="F71" s="1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9" t="s">
        <v>87</v>
      </c>
      <c r="C2" s="1" t="str" cm="1">
        <f t="array" ref="C2">_xlfn.IFS(LEN(B2) &lt;= 25, "Short", AND(LEN(B2) &gt; 25, LEN(B2) &lt;= 50), "Medium", LEN(B2) &gt; 50, "Long")</f>
        <v>Medium</v>
      </c>
      <c r="D2" t="s">
        <v>80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78</v>
      </c>
      <c r="J2" s="4">
        <f>I2/H2</f>
        <v>0.55714285714285716</v>
      </c>
    </row>
    <row r="3" spans="1:11" x14ac:dyDescent="0.3">
      <c r="A3" s="1">
        <v>72</v>
      </c>
      <c r="B3" s="9" t="s">
        <v>304</v>
      </c>
      <c r="C3" s="1" t="str" cm="1">
        <f t="array" ref="C3">_xlfn.IFS(LEN(B3) &lt;= 25, "Short", AND(LEN(B3) &gt; 25, LEN(B3) &lt;= 50), "Medium", LEN(B3) &gt; 50, "Long")</f>
        <v>Long</v>
      </c>
      <c r="D3" t="s">
        <v>80</v>
      </c>
      <c r="E3" s="1" t="s">
        <v>82</v>
      </c>
      <c r="F3" s="1" t="b">
        <f t="shared" ref="F3:F66" si="0">IF(D3=E3, TRUE, FALSE)</f>
        <v>0</v>
      </c>
    </row>
    <row r="4" spans="1:11" x14ac:dyDescent="0.3">
      <c r="A4" s="1">
        <v>73</v>
      </c>
      <c r="B4" s="9" t="s">
        <v>34</v>
      </c>
      <c r="C4" s="1" t="str" cm="1">
        <f t="array" ref="C4">_xlfn.IFS(LEN(B4) &lt;= 25, "Short", AND(LEN(B4) &gt; 25, LEN(B4) &lt;= 50), "Medium", LEN(B4) &gt; 50, "Long")</f>
        <v>Long</v>
      </c>
      <c r="D4" t="s">
        <v>80</v>
      </c>
      <c r="E4" s="1" t="s">
        <v>77</v>
      </c>
      <c r="F4" s="1" t="b">
        <f t="shared" si="0"/>
        <v>0</v>
      </c>
      <c r="H4" s="10" t="s">
        <v>237</v>
      </c>
      <c r="I4" s="10"/>
      <c r="J4" s="10"/>
      <c r="K4" s="10"/>
    </row>
    <row r="5" spans="1:11" x14ac:dyDescent="0.3">
      <c r="A5" s="1">
        <v>74</v>
      </c>
      <c r="B5" s="9" t="s">
        <v>89</v>
      </c>
      <c r="C5" s="1" t="str" cm="1">
        <f t="array" ref="C5">_xlfn.IFS(LEN(B5) &lt;= 25, "Short", AND(LEN(B5) &gt; 25, LEN(B5) &lt;= 50), "Medium", LEN(B5) &gt; 50, "Long")</f>
        <v>Long</v>
      </c>
      <c r="D5" t="s">
        <v>81</v>
      </c>
      <c r="E5" s="1" t="s">
        <v>81</v>
      </c>
      <c r="F5" s="1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9" t="s">
        <v>305</v>
      </c>
      <c r="C6" s="1" t="str" cm="1">
        <f t="array" ref="C6">_xlfn.IFS(LEN(B6) &lt;= 25, "Short", AND(LEN(B6) &gt; 25, LEN(B6) &lt;= 50), "Medium", LEN(B6) &gt; 50, "Long")</f>
        <v>Medium</v>
      </c>
      <c r="D6" t="s">
        <v>80</v>
      </c>
      <c r="E6" s="1" t="s">
        <v>77</v>
      </c>
      <c r="F6" s="1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14</v>
      </c>
      <c r="K6" s="3">
        <f>J6/I6</f>
        <v>0.7</v>
      </c>
    </row>
    <row r="7" spans="1:11" x14ac:dyDescent="0.3">
      <c r="A7" s="1">
        <v>76</v>
      </c>
      <c r="B7" s="9" t="s">
        <v>306</v>
      </c>
      <c r="C7" s="1" t="str" cm="1">
        <f t="array" ref="C7">_xlfn.IFS(LEN(B7) &lt;= 25, "Short", AND(LEN(B7) &gt; 25, LEN(B7) &lt;= 50), "Medium", LEN(B7) &gt; 50, "Long")</f>
        <v>Long</v>
      </c>
      <c r="D7" t="s">
        <v>80</v>
      </c>
      <c r="E7" s="1" t="s">
        <v>77</v>
      </c>
      <c r="F7" s="1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12</v>
      </c>
      <c r="K7" s="3">
        <f t="shared" ref="K7:K12" si="3">J7/I7</f>
        <v>0.6</v>
      </c>
    </row>
    <row r="8" spans="1:11" x14ac:dyDescent="0.3">
      <c r="A8" s="1">
        <v>77</v>
      </c>
      <c r="B8" s="9" t="s">
        <v>92</v>
      </c>
      <c r="C8" s="1" t="str" cm="1">
        <f t="array" ref="C8">_xlfn.IFS(LEN(B8) &lt;= 25, "Short", AND(LEN(B8) &gt; 25, LEN(B8) &lt;= 50), "Medium", LEN(B8) &gt; 50, "Long")</f>
        <v>Medium</v>
      </c>
      <c r="D8" t="s">
        <v>80</v>
      </c>
      <c r="E8" s="1" t="s">
        <v>80</v>
      </c>
      <c r="F8" s="1" t="b">
        <f t="shared" si="0"/>
        <v>1</v>
      </c>
      <c r="H8" s="1" t="s">
        <v>79</v>
      </c>
      <c r="I8" s="1">
        <f t="shared" si="1"/>
        <v>20</v>
      </c>
      <c r="J8" s="1">
        <f t="shared" si="2"/>
        <v>9</v>
      </c>
      <c r="K8" s="3">
        <f t="shared" si="3"/>
        <v>0.45</v>
      </c>
    </row>
    <row r="9" spans="1:11" x14ac:dyDescent="0.3">
      <c r="A9" s="1">
        <v>78</v>
      </c>
      <c r="B9" s="9" t="s">
        <v>307</v>
      </c>
      <c r="C9" s="1" t="str" cm="1">
        <f t="array" ref="C9">_xlfn.IFS(LEN(B9) &lt;= 25, "Short", AND(LEN(B9) &gt; 25, LEN(B9) &lt;= 50), "Medium", LEN(B9) &gt; 50, "Long")</f>
        <v>Short</v>
      </c>
      <c r="D9" t="s">
        <v>80</v>
      </c>
      <c r="E9" s="1" t="s">
        <v>80</v>
      </c>
      <c r="F9" s="1" t="b">
        <f t="shared" si="0"/>
        <v>1</v>
      </c>
      <c r="H9" s="1" t="s">
        <v>77</v>
      </c>
      <c r="I9" s="1">
        <f t="shared" si="1"/>
        <v>20</v>
      </c>
      <c r="J9" s="1">
        <f t="shared" si="2"/>
        <v>5</v>
      </c>
      <c r="K9" s="3">
        <f t="shared" si="3"/>
        <v>0.25</v>
      </c>
    </row>
    <row r="10" spans="1:11" x14ac:dyDescent="0.3">
      <c r="A10" s="1">
        <v>79</v>
      </c>
      <c r="B10" s="9" t="s">
        <v>9</v>
      </c>
      <c r="C10" s="1" t="str" cm="1">
        <f t="array" ref="C10">_xlfn.IFS(LEN(B10) &lt;= 25, "Short", AND(LEN(B10) &gt; 25, LEN(B10) &lt;= 50), "Medium", LEN(B10) &gt; 50, "Long")</f>
        <v>Medium</v>
      </c>
      <c r="D10" t="s">
        <v>252</v>
      </c>
      <c r="E10" s="1" t="s">
        <v>252</v>
      </c>
      <c r="F10" s="1" t="b">
        <f t="shared" si="0"/>
        <v>1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9" t="s">
        <v>14</v>
      </c>
      <c r="C11" s="1" t="str" cm="1">
        <f t="array" ref="C11">_xlfn.IFS(LEN(B11) &lt;= 25, "Short", AND(LEN(B11) &gt; 25, LEN(B11) &lt;= 50), "Medium", LEN(B11) &gt; 50, "Long")</f>
        <v>Short</v>
      </c>
      <c r="D11" t="s">
        <v>76</v>
      </c>
      <c r="E11" s="1" t="s">
        <v>76</v>
      </c>
      <c r="F11" s="1" t="b">
        <f t="shared" si="0"/>
        <v>1</v>
      </c>
      <c r="H11" s="1" t="s">
        <v>80</v>
      </c>
      <c r="I11" s="1">
        <f t="shared" si="1"/>
        <v>20</v>
      </c>
      <c r="J11" s="1">
        <f t="shared" si="2"/>
        <v>18</v>
      </c>
      <c r="K11" s="3">
        <f t="shared" si="3"/>
        <v>0.9</v>
      </c>
    </row>
    <row r="12" spans="1:11" x14ac:dyDescent="0.3">
      <c r="A12" s="1">
        <v>81</v>
      </c>
      <c r="B12" s="9" t="s">
        <v>54</v>
      </c>
      <c r="C12" s="1" t="str" cm="1">
        <f t="array" ref="C12">_xlfn.IFS(LEN(B12) &lt;= 25, "Short", AND(LEN(B12) &gt; 25, LEN(B12) &lt;= 50), "Medium", LEN(B12) &gt; 50, "Long")</f>
        <v>Medium</v>
      </c>
      <c r="D12" t="s">
        <v>76</v>
      </c>
      <c r="E12" s="1" t="s">
        <v>76</v>
      </c>
      <c r="F12" s="1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9" t="s">
        <v>308</v>
      </c>
      <c r="C13" s="1" t="str" cm="1">
        <f t="array" ref="C13">_xlfn.IFS(LEN(B13) &lt;= 25, "Short", AND(LEN(B13) &gt; 25, LEN(B13) &lt;= 50), "Medium", LEN(B13) &gt; 50, "Long")</f>
        <v>Short</v>
      </c>
      <c r="D13" t="s">
        <v>80</v>
      </c>
      <c r="E13" s="1" t="s">
        <v>80</v>
      </c>
      <c r="F13" s="1" t="b">
        <f t="shared" si="0"/>
        <v>1</v>
      </c>
    </row>
    <row r="14" spans="1:11" x14ac:dyDescent="0.3">
      <c r="A14" s="1">
        <v>83</v>
      </c>
      <c r="B14" s="9" t="s">
        <v>309</v>
      </c>
      <c r="C14" s="1" t="str" cm="1">
        <f t="array" ref="C14">_xlfn.IFS(LEN(B14) &lt;= 25, "Short", AND(LEN(B14) &gt; 25, LEN(B14) &lt;= 50), "Medium", LEN(B14) &gt; 50, "Long")</f>
        <v>Long</v>
      </c>
      <c r="D14" t="s">
        <v>80</v>
      </c>
      <c r="E14" s="1" t="s">
        <v>82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84</v>
      </c>
      <c r="B15" s="9" t="s">
        <v>94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76</v>
      </c>
      <c r="F15" s="1" t="b">
        <f t="shared" si="0"/>
        <v>1</v>
      </c>
      <c r="H15" s="1" t="s">
        <v>258</v>
      </c>
      <c r="I15" s="1">
        <f>COUNTIF(C2:C141, "Short")</f>
        <v>66</v>
      </c>
      <c r="J15" s="1">
        <f>COUNTIFS(C2:C141, "Short", F2:F141, TRUE)</f>
        <v>37</v>
      </c>
      <c r="K15" s="4">
        <f>J15/I15</f>
        <v>0.56060606060606055</v>
      </c>
    </row>
    <row r="16" spans="1:11" x14ac:dyDescent="0.3">
      <c r="A16" s="1">
        <v>85</v>
      </c>
      <c r="B16" s="9" t="s">
        <v>310</v>
      </c>
      <c r="C16" s="1" t="str" cm="1">
        <f t="array" ref="C16">_xlfn.IFS(LEN(B16) &lt;= 25, "Short", AND(LEN(B16) &gt; 25, LEN(B16) &lt;= 50), "Medium", LEN(B16) &gt; 50, "Long")</f>
        <v>Medium</v>
      </c>
      <c r="D16" t="s">
        <v>80</v>
      </c>
      <c r="E16" s="1" t="s">
        <v>80</v>
      </c>
      <c r="F16" s="1" t="b">
        <f t="shared" si="0"/>
        <v>1</v>
      </c>
      <c r="H16" s="1" t="s">
        <v>257</v>
      </c>
      <c r="I16" s="1">
        <f>COUNTIFS(C2:C141, "Medium")</f>
        <v>51</v>
      </c>
      <c r="J16" s="1">
        <f>COUNTIFS(C2:C141, "Medium", F2:F141, TRUE)</f>
        <v>32</v>
      </c>
      <c r="K16" s="4">
        <f t="shared" ref="K16:K17" si="4">J16/I16</f>
        <v>0.62745098039215685</v>
      </c>
    </row>
    <row r="17" spans="1:11" x14ac:dyDescent="0.3">
      <c r="A17" s="1">
        <v>86</v>
      </c>
      <c r="B17" s="9" t="s">
        <v>311</v>
      </c>
      <c r="C17" s="1" t="str" cm="1">
        <f t="array" ref="C17">_xlfn.IFS(LEN(B17) &lt;= 25, "Short", AND(LEN(B17) &gt; 25, LEN(B17) &lt;= 50), "Medium", LEN(B17) &gt; 50, "Long")</f>
        <v>Short</v>
      </c>
      <c r="D17" t="s">
        <v>81</v>
      </c>
      <c r="E17" s="1" t="s">
        <v>252</v>
      </c>
      <c r="F17" s="1" t="b">
        <f t="shared" si="0"/>
        <v>0</v>
      </c>
      <c r="H17" s="1" t="s">
        <v>256</v>
      </c>
      <c r="I17" s="1">
        <f>COUNTIF(C2:C141, "Long")</f>
        <v>23</v>
      </c>
      <c r="J17" s="1">
        <f>COUNTIFS(C2:C141, "Long", F2:F141, TRUE)</f>
        <v>9</v>
      </c>
      <c r="K17" s="4">
        <f t="shared" si="4"/>
        <v>0.39130434782608697</v>
      </c>
    </row>
    <row r="18" spans="1:11" x14ac:dyDescent="0.3">
      <c r="A18" s="1">
        <v>87</v>
      </c>
      <c r="B18" s="9" t="s">
        <v>312</v>
      </c>
      <c r="C18" s="1" t="str" cm="1">
        <f t="array" ref="C18">_xlfn.IFS(LEN(B18) &lt;= 25, "Short", AND(LEN(B18) &gt; 25, LEN(B18) &lt;= 50), "Medium", LEN(B18) &gt; 50, "Long")</f>
        <v>Short</v>
      </c>
      <c r="D18" t="s">
        <v>79</v>
      </c>
      <c r="E18" s="1" t="s">
        <v>79</v>
      </c>
      <c r="F18" s="1" t="b">
        <f t="shared" si="0"/>
        <v>1</v>
      </c>
    </row>
    <row r="19" spans="1:11" x14ac:dyDescent="0.3">
      <c r="A19" s="1">
        <v>88</v>
      </c>
      <c r="B19" s="9" t="s">
        <v>313</v>
      </c>
      <c r="C19" s="1" t="str" cm="1">
        <f t="array" ref="C19">_xlfn.IFS(LEN(B19) &lt;= 25, "Short", AND(LEN(B19) &gt; 25, LEN(B19) &lt;= 50), "Medium", LEN(B19) &gt; 50, "Long")</f>
        <v>Medium</v>
      </c>
      <c r="D19" t="s">
        <v>80</v>
      </c>
      <c r="E19" s="1" t="s">
        <v>77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89</v>
      </c>
      <c r="B20" s="9" t="s">
        <v>314</v>
      </c>
      <c r="C20" s="1" t="str" cm="1">
        <f t="array" ref="C20">_xlfn.IFS(LEN(B20) &lt;= 25, "Short", AND(LEN(B20) &gt; 25, LEN(B20) &lt;= 50), "Medium", LEN(B20) &gt; 50, "Long")</f>
        <v>Medium</v>
      </c>
      <c r="D20" t="s">
        <v>80</v>
      </c>
      <c r="E20" s="1" t="s">
        <v>79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90</v>
      </c>
      <c r="B21" s="9" t="s">
        <v>315</v>
      </c>
      <c r="C21" s="1" t="str" cm="1">
        <f t="array" ref="C21">_xlfn.IFS(LEN(B21) &lt;= 25, "Short", AND(LEN(B21) &gt; 25, LEN(B21) &lt;= 50), "Medium", LEN(B21) &gt; 50, "Long")</f>
        <v>Short</v>
      </c>
      <c r="D21" t="s">
        <v>81</v>
      </c>
      <c r="E21" s="1" t="s">
        <v>81</v>
      </c>
      <c r="F21" s="1" t="b">
        <f t="shared" si="0"/>
        <v>1</v>
      </c>
      <c r="H21" s="1" t="s">
        <v>80</v>
      </c>
      <c r="I21" s="1" t="s">
        <v>77</v>
      </c>
      <c r="J21" s="1">
        <f>COUNTIFS($D$2:$D$71, I21, $E$2:$E$71, H21)</f>
        <v>0</v>
      </c>
      <c r="K21" s="6">
        <f>J21/I11</f>
        <v>0</v>
      </c>
    </row>
    <row r="22" spans="1:11" x14ac:dyDescent="0.3">
      <c r="A22" s="1">
        <v>91</v>
      </c>
      <c r="B22" s="9" t="s">
        <v>97</v>
      </c>
      <c r="C22" s="1" t="str" cm="1">
        <f t="array" ref="C22">_xlfn.IFS(LEN(B22) &lt;= 25, "Short", AND(LEN(B22) &gt; 25, LEN(B22) &lt;= 50), "Medium", LEN(B22) &gt; 50, "Long")</f>
        <v>Medium</v>
      </c>
      <c r="D22" t="s">
        <v>76</v>
      </c>
      <c r="E22" s="1" t="s">
        <v>76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92</v>
      </c>
      <c r="B23" s="9" t="s">
        <v>316</v>
      </c>
      <c r="C23" s="1" t="str" cm="1">
        <f t="array" ref="C23">_xlfn.IFS(LEN(B23) &lt;= 25, "Short", AND(LEN(B23) &gt; 25, LEN(B23) &lt;= 50), "Medium", LEN(B23) &gt; 50, "Long")</f>
        <v>Short</v>
      </c>
      <c r="D23" t="s">
        <v>77</v>
      </c>
      <c r="E23" s="1" t="s">
        <v>77</v>
      </c>
      <c r="F23" s="1" t="b">
        <f t="shared" si="0"/>
        <v>1</v>
      </c>
      <c r="H23" s="1" t="s">
        <v>77</v>
      </c>
      <c r="I23" s="1" t="s">
        <v>80</v>
      </c>
      <c r="J23" s="1">
        <f t="shared" si="5"/>
        <v>8</v>
      </c>
      <c r="K23" s="6">
        <f>J23/I9</f>
        <v>0.4</v>
      </c>
    </row>
    <row r="24" spans="1:11" x14ac:dyDescent="0.3">
      <c r="A24" s="1">
        <v>93</v>
      </c>
      <c r="B24" s="9" t="s">
        <v>317</v>
      </c>
      <c r="C24" s="1" t="str" cm="1">
        <f t="array" ref="C24">_xlfn.IFS(LEN(B24) &lt;= 25, "Short", AND(LEN(B24) &gt; 25, LEN(B24) &lt;= 50), "Medium", LEN(B24) &gt; 50, "Long")</f>
        <v>Medium</v>
      </c>
      <c r="D24" t="s">
        <v>77</v>
      </c>
      <c r="E24" s="1" t="s">
        <v>77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94</v>
      </c>
      <c r="B25" s="9" t="s">
        <v>100</v>
      </c>
      <c r="C25" s="1" t="str" cm="1">
        <f t="array" ref="C25">_xlfn.IFS(LEN(B25) &lt;= 25, "Short", AND(LEN(B25) &gt; 25, LEN(B25) &lt;= 50), "Medium", LEN(B25) &gt; 50, "Long")</f>
        <v>Short</v>
      </c>
      <c r="D25" t="s">
        <v>79</v>
      </c>
      <c r="E25" s="1" t="s">
        <v>79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1</v>
      </c>
      <c r="K25" s="6">
        <f>J25/I6</f>
        <v>0.05</v>
      </c>
    </row>
    <row r="26" spans="1:11" x14ac:dyDescent="0.3">
      <c r="A26" s="1">
        <v>95</v>
      </c>
      <c r="B26" s="9" t="s">
        <v>318</v>
      </c>
      <c r="C26" s="1" t="str" cm="1">
        <f t="array" ref="C26">_xlfn.IFS(LEN(B26) &lt;= 25, "Short", AND(LEN(B26) &gt; 25, LEN(B26) &lt;= 50), "Medium", LEN(B26) &gt; 50, "Long")</f>
        <v>Short</v>
      </c>
      <c r="D26" t="s">
        <v>79</v>
      </c>
      <c r="E26" s="1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0.05</v>
      </c>
    </row>
    <row r="27" spans="1:11" x14ac:dyDescent="0.3">
      <c r="A27" s="1">
        <v>96</v>
      </c>
      <c r="B27" s="9" t="s">
        <v>319</v>
      </c>
      <c r="C27" s="1" t="str" cm="1">
        <f t="array" ref="C27">_xlfn.IFS(LEN(B27) &lt;= 25, "Short", AND(LEN(B27) &gt; 25, LEN(B27) &lt;= 50), "Medium", LEN(B27) &gt; 50, "Long")</f>
        <v>Long</v>
      </c>
      <c r="D27" t="s">
        <v>80</v>
      </c>
      <c r="E27" s="1" t="s">
        <v>82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97</v>
      </c>
      <c r="B28" s="9" t="s">
        <v>320</v>
      </c>
      <c r="C28" s="1" t="str" cm="1">
        <f t="array" ref="C28">_xlfn.IFS(LEN(B28) &lt;= 25, "Short", AND(LEN(B28) &gt; 25, LEN(B28) &lt;= 50), "Medium", LEN(B28) &gt; 50, "Long")</f>
        <v>Short</v>
      </c>
      <c r="D28" t="s">
        <v>80</v>
      </c>
      <c r="E28" s="1" t="s">
        <v>77</v>
      </c>
      <c r="F28" s="1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98</v>
      </c>
      <c r="B29" s="9" t="s">
        <v>67</v>
      </c>
      <c r="C29" s="1" t="str" cm="1">
        <f t="array" ref="C29">_xlfn.IFS(LEN(B29) &lt;= 25, "Short", AND(LEN(B29) &gt; 25, LEN(B29) &lt;= 50), "Medium", LEN(B29) &gt; 50, "Long")</f>
        <v>Medium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99</v>
      </c>
      <c r="B30" s="9" t="s">
        <v>321</v>
      </c>
      <c r="C30" s="1" t="str" cm="1">
        <f t="array" ref="C30">_xlfn.IFS(LEN(B30) &lt;= 25, "Short", AND(LEN(B30) &gt; 25, LEN(B30) &lt;= 50), "Medium", LEN(B30) &gt; 50, "Long")</f>
        <v>Short</v>
      </c>
      <c r="D30" t="s">
        <v>252</v>
      </c>
      <c r="E30" s="1" t="s">
        <v>81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100</v>
      </c>
      <c r="B31" s="9" t="s">
        <v>322</v>
      </c>
      <c r="C31" s="1" t="str" cm="1">
        <f t="array" ref="C31">_xlfn.IFS(LEN(B31) &lt;= 25, "Short", AND(LEN(B31) &gt; 25, LEN(B31) &lt;= 50), "Medium", LEN(B31) &gt; 50, "Long")</f>
        <v>Medium</v>
      </c>
      <c r="D31" t="s">
        <v>80</v>
      </c>
      <c r="E31" s="1" t="s">
        <v>77</v>
      </c>
      <c r="F31" s="1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101</v>
      </c>
      <c r="B32" s="9" t="s">
        <v>21</v>
      </c>
      <c r="C32" s="1" t="str" cm="1">
        <f t="array" ref="C32">_xlfn.IFS(LEN(B32) &lt;= 25, "Short", AND(LEN(B32) &gt; 25, LEN(B32) &lt;= 50), "Medium", LEN(B32) &gt; 50, "Long")</f>
        <v>Medium</v>
      </c>
      <c r="D32" t="s">
        <v>252</v>
      </c>
      <c r="E32" s="1" t="s">
        <v>252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102</v>
      </c>
      <c r="B33" s="9" t="s">
        <v>323</v>
      </c>
      <c r="C33" s="1" t="str" cm="1">
        <f t="array" ref="C33">_xlfn.IFS(LEN(B33) &lt;= 25, "Short", AND(LEN(B33) &gt; 25, LEN(B33) &lt;= 50), "Medium", LEN(B33) &gt; 50, "Long")</f>
        <v>Long</v>
      </c>
      <c r="D33" t="s">
        <v>79</v>
      </c>
      <c r="E33" s="1" t="s">
        <v>79</v>
      </c>
      <c r="F33" s="1" t="b">
        <f t="shared" si="0"/>
        <v>1</v>
      </c>
    </row>
    <row r="34" spans="1:6" x14ac:dyDescent="0.3">
      <c r="A34" s="1">
        <v>103</v>
      </c>
      <c r="B34" s="9" t="s">
        <v>251</v>
      </c>
      <c r="C34" s="1" t="str" cm="1">
        <f t="array" ref="C34">_xlfn.IFS(LEN(B34) &lt;= 25, "Short", AND(LEN(B34) &gt; 25, LEN(B34) &lt;= 50), "Medium", LEN(B34) &gt; 50, "Long")</f>
        <v>Short</v>
      </c>
      <c r="D34" t="s">
        <v>80</v>
      </c>
      <c r="E34" s="1" t="s">
        <v>80</v>
      </c>
      <c r="F34" s="1" t="b">
        <f t="shared" si="0"/>
        <v>1</v>
      </c>
    </row>
    <row r="35" spans="1:6" x14ac:dyDescent="0.3">
      <c r="A35" s="1">
        <v>104</v>
      </c>
      <c r="B35" s="9" t="s">
        <v>288</v>
      </c>
      <c r="C35" s="1" t="str" cm="1">
        <f t="array" ref="C35">_xlfn.IFS(LEN(B35) &lt;= 25, "Short", AND(LEN(B35) &gt; 25, LEN(B35) &lt;= 50), "Medium", LEN(B35) &gt; 50, "Long")</f>
        <v>Long</v>
      </c>
      <c r="D35" t="s">
        <v>252</v>
      </c>
      <c r="E35" s="1" t="s">
        <v>252</v>
      </c>
      <c r="F35" s="1" t="b">
        <f t="shared" si="0"/>
        <v>1</v>
      </c>
    </row>
    <row r="36" spans="1:6" x14ac:dyDescent="0.3">
      <c r="A36" s="1">
        <v>105</v>
      </c>
      <c r="B36" s="9" t="s">
        <v>105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1" t="s">
        <v>76</v>
      </c>
      <c r="F36" s="1" t="b">
        <f t="shared" si="0"/>
        <v>1</v>
      </c>
    </row>
    <row r="37" spans="1:6" x14ac:dyDescent="0.3">
      <c r="A37" s="1">
        <v>106</v>
      </c>
      <c r="B37" s="9" t="s">
        <v>106</v>
      </c>
      <c r="C37" s="1" t="str" cm="1">
        <f t="array" ref="C37">_xlfn.IFS(LEN(B37) &lt;= 25, "Short", AND(LEN(B37) &gt; 25, LEN(B37) &lt;= 50), "Medium", LEN(B37) &gt; 50, "Long")</f>
        <v>Medium</v>
      </c>
      <c r="D37" t="s">
        <v>76</v>
      </c>
      <c r="E37" s="1" t="s">
        <v>76</v>
      </c>
      <c r="F37" s="1" t="b">
        <f t="shared" si="0"/>
        <v>1</v>
      </c>
    </row>
    <row r="38" spans="1:6" x14ac:dyDescent="0.3">
      <c r="A38" s="1">
        <v>107</v>
      </c>
      <c r="B38" s="9" t="s">
        <v>324</v>
      </c>
      <c r="C38" s="1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108</v>
      </c>
      <c r="B39" s="9" t="s">
        <v>325</v>
      </c>
      <c r="C39" s="1" t="str" cm="1">
        <f t="array" ref="C39">_xlfn.IFS(LEN(B39) &lt;= 25, "Short", AND(LEN(B39) &gt; 25, LEN(B39) &lt;= 50), "Medium", LEN(B39) &gt; 50, "Long")</f>
        <v>Long</v>
      </c>
      <c r="D39" t="s">
        <v>80</v>
      </c>
      <c r="E39" s="1" t="s">
        <v>82</v>
      </c>
      <c r="F39" s="1" t="b">
        <f t="shared" si="0"/>
        <v>0</v>
      </c>
    </row>
    <row r="40" spans="1:6" x14ac:dyDescent="0.3">
      <c r="A40" s="1">
        <v>109</v>
      </c>
      <c r="B40" s="9" t="s">
        <v>326</v>
      </c>
      <c r="C40" s="1" t="str" cm="1">
        <f t="array" ref="C40">_xlfn.IFS(LEN(B40) &lt;= 25, "Short", AND(LEN(B40) &gt; 25, LEN(B40) &lt;= 50), "Medium", LEN(B40) &gt; 50, "Long")</f>
        <v>Long</v>
      </c>
      <c r="D40" t="s">
        <v>80</v>
      </c>
      <c r="E40" s="1" t="s">
        <v>82</v>
      </c>
      <c r="F40" s="1" t="b">
        <f t="shared" si="0"/>
        <v>0</v>
      </c>
    </row>
    <row r="41" spans="1:6" x14ac:dyDescent="0.3">
      <c r="A41" s="1">
        <v>110</v>
      </c>
      <c r="B41" s="9" t="s">
        <v>327</v>
      </c>
      <c r="C41" s="1" t="str" cm="1">
        <f t="array" ref="C41">_xlfn.IFS(LEN(B41) &lt;= 25, "Short", AND(LEN(B41) &gt; 25, LEN(B41) &lt;= 50), "Medium", LEN(B41) &gt; 50, "Long")</f>
        <v>Short</v>
      </c>
      <c r="D41" t="s">
        <v>80</v>
      </c>
      <c r="E41" s="1" t="s">
        <v>77</v>
      </c>
      <c r="F41" s="1" t="b">
        <f t="shared" si="0"/>
        <v>0</v>
      </c>
    </row>
    <row r="42" spans="1:6" x14ac:dyDescent="0.3">
      <c r="A42" s="1">
        <v>111</v>
      </c>
      <c r="B42" s="9" t="s">
        <v>328</v>
      </c>
      <c r="C42" s="1" t="str" cm="1">
        <f t="array" ref="C42">_xlfn.IFS(LEN(B42) &lt;= 25, "Short", AND(LEN(B42) &gt; 25, LEN(B42) &lt;= 50), "Medium", LEN(B42) &gt; 50, "Long")</f>
        <v>Long</v>
      </c>
      <c r="D42" t="s">
        <v>80</v>
      </c>
      <c r="E42" s="1" t="s">
        <v>80</v>
      </c>
      <c r="F42" s="1" t="b">
        <f t="shared" si="0"/>
        <v>1</v>
      </c>
    </row>
    <row r="43" spans="1:6" x14ac:dyDescent="0.3">
      <c r="A43" s="1">
        <v>112</v>
      </c>
      <c r="B43" s="9" t="s">
        <v>110</v>
      </c>
      <c r="C43" s="1" t="str" cm="1">
        <f t="array" ref="C43">_xlfn.IFS(LEN(B43) &lt;= 25, "Short", AND(LEN(B43) &gt; 25, LEN(B43) &lt;= 50), "Medium", LEN(B43) &gt; 50, "Long")</f>
        <v>Medium</v>
      </c>
      <c r="D43" t="s">
        <v>76</v>
      </c>
      <c r="E43" s="1" t="s">
        <v>76</v>
      </c>
      <c r="F43" s="1" t="b">
        <f t="shared" si="0"/>
        <v>1</v>
      </c>
    </row>
    <row r="44" spans="1:6" x14ac:dyDescent="0.3">
      <c r="A44" s="1">
        <v>113</v>
      </c>
      <c r="B44" s="9" t="s">
        <v>329</v>
      </c>
      <c r="C44" s="1" t="str" cm="1">
        <f t="array" ref="C44">_xlfn.IFS(LEN(B44) &lt;= 25, "Short", AND(LEN(B44) &gt; 25, LEN(B44) &lt;= 50), "Medium", LEN(B44) &gt; 50, "Long")</f>
        <v>Medium</v>
      </c>
      <c r="D44" t="s">
        <v>252</v>
      </c>
      <c r="E44" s="1" t="s">
        <v>252</v>
      </c>
      <c r="F44" s="1" t="b">
        <f t="shared" si="0"/>
        <v>1</v>
      </c>
    </row>
    <row r="45" spans="1:6" x14ac:dyDescent="0.3">
      <c r="A45" s="1">
        <v>114</v>
      </c>
      <c r="B45" s="9" t="s">
        <v>26</v>
      </c>
      <c r="C45" s="1" t="str" cm="1">
        <f t="array" ref="C45">_xlfn.IFS(LEN(B45) &lt;= 25, "Short", AND(LEN(B45) &gt; 25, LEN(B45) &lt;= 50), "Medium", LEN(B45) &gt; 50, "Long")</f>
        <v>Short</v>
      </c>
      <c r="D45" t="s">
        <v>80</v>
      </c>
      <c r="E45" s="1" t="s">
        <v>79</v>
      </c>
      <c r="F45" s="1" t="b">
        <f t="shared" si="0"/>
        <v>0</v>
      </c>
    </row>
    <row r="46" spans="1:6" x14ac:dyDescent="0.3">
      <c r="A46" s="1">
        <v>115</v>
      </c>
      <c r="B46" s="9" t="s">
        <v>330</v>
      </c>
      <c r="C46" s="1" t="str" cm="1">
        <f t="array" ref="C46">_xlfn.IFS(LEN(B46) &lt;= 25, "Short", AND(LEN(B46) &gt; 25, LEN(B46) &lt;= 50), "Medium", LEN(B46) &gt; 50, "Long")</f>
        <v>Long</v>
      </c>
      <c r="D46" t="s">
        <v>252</v>
      </c>
      <c r="E46" s="1" t="s">
        <v>252</v>
      </c>
      <c r="F46" s="1" t="b">
        <f t="shared" si="0"/>
        <v>1</v>
      </c>
    </row>
    <row r="47" spans="1:6" x14ac:dyDescent="0.3">
      <c r="A47" s="1">
        <v>116</v>
      </c>
      <c r="B47" s="9" t="s">
        <v>111</v>
      </c>
      <c r="C47" s="1" t="str" cm="1">
        <f t="array" ref="C47">_xlfn.IFS(LEN(B47) &lt;= 25, "Short", AND(LEN(B47) &gt; 25, LEN(B47) &lt;= 50), "Medium", LEN(B47) &gt; 50, "Long")</f>
        <v>Long</v>
      </c>
      <c r="D47" t="s">
        <v>76</v>
      </c>
      <c r="E47" s="1" t="s">
        <v>76</v>
      </c>
      <c r="F47" s="1" t="b">
        <f t="shared" si="0"/>
        <v>1</v>
      </c>
    </row>
    <row r="48" spans="1:6" x14ac:dyDescent="0.3">
      <c r="A48" s="1">
        <v>117</v>
      </c>
      <c r="B48" s="9" t="s">
        <v>331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118</v>
      </c>
      <c r="B49" s="9" t="s">
        <v>332</v>
      </c>
      <c r="C49" s="1" t="str" cm="1">
        <f t="array" ref="C49">_xlfn.IFS(LEN(B49) &lt;= 25, "Short", AND(LEN(B49) &gt; 25, LEN(B49) &lt;= 50), "Medium", LEN(B49) &gt; 50, "Long")</f>
        <v>Short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119</v>
      </c>
      <c r="B50" s="9" t="s">
        <v>333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1" t="s">
        <v>81</v>
      </c>
      <c r="F50" s="1" t="b">
        <f t="shared" si="0"/>
        <v>1</v>
      </c>
    </row>
    <row r="51" spans="1:6" x14ac:dyDescent="0.3">
      <c r="A51" s="1">
        <v>120</v>
      </c>
      <c r="B51" s="9" t="s">
        <v>334</v>
      </c>
      <c r="C51" s="1" t="str" cm="1">
        <f t="array" ref="C51">_xlfn.IFS(LEN(B51) &lt;= 25, "Short", AND(LEN(B51) &gt; 25, LEN(B51) &lt;= 50), "Medium", LEN(B51) &gt; 50, "Long")</f>
        <v>Short</v>
      </c>
      <c r="D51" t="s">
        <v>80</v>
      </c>
      <c r="E51" s="1" t="s">
        <v>80</v>
      </c>
      <c r="F51" s="1" t="b">
        <f t="shared" si="0"/>
        <v>1</v>
      </c>
    </row>
    <row r="52" spans="1:6" x14ac:dyDescent="0.3">
      <c r="A52" s="1">
        <v>121</v>
      </c>
      <c r="B52" s="9" t="s">
        <v>335</v>
      </c>
      <c r="C52" s="1" t="str" cm="1">
        <f t="array" ref="C52">_xlfn.IFS(LEN(B52) &lt;= 25, "Short", AND(LEN(B52) &gt; 25, LEN(B52) &lt;= 50), "Medium", LEN(B52) &gt; 50, "Long")</f>
        <v>Short</v>
      </c>
      <c r="D52" t="s">
        <v>80</v>
      </c>
      <c r="E52" s="1" t="s">
        <v>77</v>
      </c>
      <c r="F52" s="1" t="b">
        <f t="shared" si="0"/>
        <v>0</v>
      </c>
    </row>
    <row r="53" spans="1:6" x14ac:dyDescent="0.3">
      <c r="A53" s="1">
        <v>122</v>
      </c>
      <c r="B53" s="9" t="s">
        <v>336</v>
      </c>
      <c r="C53" s="1" t="str" cm="1">
        <f t="array" ref="C53">_xlfn.IFS(LEN(B53) &lt;= 25, "Short", AND(LEN(B53) &gt; 25, LEN(B53) &lt;= 50), "Medium", LEN(B53) &gt; 50, "Long")</f>
        <v>Short</v>
      </c>
      <c r="D53" t="s">
        <v>76</v>
      </c>
      <c r="E53" s="1" t="s">
        <v>76</v>
      </c>
      <c r="F53" s="1" t="b">
        <f t="shared" si="0"/>
        <v>1</v>
      </c>
    </row>
    <row r="54" spans="1:6" x14ac:dyDescent="0.3">
      <c r="A54" s="1">
        <v>123</v>
      </c>
      <c r="B54" s="9" t="s">
        <v>337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79</v>
      </c>
      <c r="F54" s="1" t="b">
        <f t="shared" si="0"/>
        <v>1</v>
      </c>
    </row>
    <row r="55" spans="1:6" x14ac:dyDescent="0.3">
      <c r="A55" s="1">
        <v>124</v>
      </c>
      <c r="B55" s="9" t="s">
        <v>338</v>
      </c>
      <c r="C55" s="1" t="str" cm="1">
        <f t="array" ref="C55">_xlfn.IFS(LEN(B55) &lt;= 25, "Short", AND(LEN(B55) &gt; 25, LEN(B55) &lt;= 50), "Medium", LEN(B55) &gt; 50, "Long")</f>
        <v>Medium</v>
      </c>
      <c r="D55" t="s">
        <v>80</v>
      </c>
      <c r="E55" s="1" t="s">
        <v>82</v>
      </c>
      <c r="F55" s="1" t="b">
        <f t="shared" si="0"/>
        <v>0</v>
      </c>
    </row>
    <row r="56" spans="1:6" x14ac:dyDescent="0.3">
      <c r="A56" s="1">
        <v>125</v>
      </c>
      <c r="B56" s="9" t="s">
        <v>339</v>
      </c>
      <c r="C56" s="1" t="str" cm="1">
        <f t="array" ref="C56">_xlfn.IFS(LEN(B56) &lt;= 25, "Short", AND(LEN(B56) &gt; 25, LEN(B56) &lt;= 50), "Medium", LEN(B56) &gt; 50, "Long")</f>
        <v>Short</v>
      </c>
      <c r="D56" t="s">
        <v>80</v>
      </c>
      <c r="E56" s="1" t="s">
        <v>81</v>
      </c>
      <c r="F56" s="1" t="b">
        <f t="shared" si="0"/>
        <v>0</v>
      </c>
    </row>
    <row r="57" spans="1:6" x14ac:dyDescent="0.3">
      <c r="A57" s="1">
        <v>126</v>
      </c>
      <c r="B57" s="9" t="s">
        <v>114</v>
      </c>
      <c r="C57" s="1" t="str" cm="1">
        <f t="array" ref="C57">_xlfn.IFS(LEN(B57) &lt;= 25, "Short", AND(LEN(B57) &gt; 25, LEN(B57) &lt;= 50), "Medium", LEN(B57) &gt; 50, "Long")</f>
        <v>Medium</v>
      </c>
      <c r="D57" t="s">
        <v>76</v>
      </c>
      <c r="E57" s="1" t="s">
        <v>76</v>
      </c>
      <c r="F57" s="1" t="b">
        <f t="shared" si="0"/>
        <v>1</v>
      </c>
    </row>
    <row r="58" spans="1:6" x14ac:dyDescent="0.3">
      <c r="A58" s="1">
        <v>127</v>
      </c>
      <c r="B58" s="9" t="s">
        <v>340</v>
      </c>
      <c r="C58" s="1" t="str" cm="1">
        <f t="array" ref="C58">_xlfn.IFS(LEN(B58) &lt;= 25, "Short", AND(LEN(B58) &gt; 25, LEN(B58) &lt;= 50), "Medium", LEN(B58) &gt; 50, "Long")</f>
        <v>Medium</v>
      </c>
      <c r="D58" t="s">
        <v>79</v>
      </c>
      <c r="E58" s="1" t="s">
        <v>81</v>
      </c>
      <c r="F58" s="1" t="b">
        <f t="shared" si="0"/>
        <v>0</v>
      </c>
    </row>
    <row r="59" spans="1:6" x14ac:dyDescent="0.3">
      <c r="A59" s="1">
        <v>128</v>
      </c>
      <c r="B59" s="9" t="s">
        <v>341</v>
      </c>
      <c r="C59" s="1" t="str" cm="1">
        <f t="array" ref="C59">_xlfn.IFS(LEN(B59) &lt;= 25, "Short", AND(LEN(B59) &gt; 25, LEN(B59) &lt;= 50), "Medium", LEN(B59) &gt; 50, "Long")</f>
        <v>Long</v>
      </c>
      <c r="D59" t="s">
        <v>79</v>
      </c>
      <c r="E59" s="1" t="s">
        <v>79</v>
      </c>
      <c r="F59" s="1" t="b">
        <f t="shared" si="0"/>
        <v>1</v>
      </c>
    </row>
    <row r="60" spans="1:6" x14ac:dyDescent="0.3">
      <c r="A60" s="1">
        <v>129</v>
      </c>
      <c r="B60" s="9" t="s">
        <v>342</v>
      </c>
      <c r="C60" s="1" t="str" cm="1">
        <f t="array" ref="C60">_xlfn.IFS(LEN(B60) &lt;= 25, "Short", AND(LEN(B60) &gt; 25, LEN(B60) &lt;= 50), "Medium", LEN(B60) &gt; 50, "Long")</f>
        <v>Long</v>
      </c>
      <c r="D60" t="s">
        <v>79</v>
      </c>
      <c r="E60" s="1" t="s">
        <v>79</v>
      </c>
      <c r="F60" s="1" t="b">
        <f t="shared" si="0"/>
        <v>1</v>
      </c>
    </row>
    <row r="61" spans="1:6" x14ac:dyDescent="0.3">
      <c r="A61" s="1">
        <v>130</v>
      </c>
      <c r="B61" s="9" t="s">
        <v>117</v>
      </c>
      <c r="C61" s="1" t="str" cm="1">
        <f t="array" ref="C61">_xlfn.IFS(LEN(B61) &lt;= 25, "Short", AND(LEN(B61) &gt; 25, LEN(B61) &lt;= 50), "Medium", LEN(B61) &gt; 50, "Long")</f>
        <v>Short</v>
      </c>
      <c r="D61" t="s">
        <v>76</v>
      </c>
      <c r="E61" s="1" t="s">
        <v>76</v>
      </c>
      <c r="F61" s="1" t="b">
        <f t="shared" si="0"/>
        <v>1</v>
      </c>
    </row>
    <row r="62" spans="1:6" x14ac:dyDescent="0.3">
      <c r="A62" s="1">
        <v>131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1" t="s">
        <v>252</v>
      </c>
      <c r="F62" s="1" t="b">
        <f t="shared" si="0"/>
        <v>1</v>
      </c>
    </row>
    <row r="63" spans="1:6" x14ac:dyDescent="0.3">
      <c r="A63" s="1">
        <v>132</v>
      </c>
      <c r="B63" s="9" t="s">
        <v>118</v>
      </c>
      <c r="C63" s="1" t="str" cm="1">
        <f t="array" ref="C63">_xlfn.IFS(LEN(B63) &lt;= 25, "Short", AND(LEN(B63) &gt; 25, LEN(B63) &lt;= 50), "Medium", LEN(B63) &gt; 50, "Long")</f>
        <v>Medium</v>
      </c>
      <c r="D63" t="s">
        <v>79</v>
      </c>
      <c r="E63" s="1" t="s">
        <v>79</v>
      </c>
      <c r="F63" s="1" t="b">
        <f t="shared" si="0"/>
        <v>1</v>
      </c>
    </row>
    <row r="64" spans="1:6" x14ac:dyDescent="0.3">
      <c r="A64" s="1">
        <v>133</v>
      </c>
      <c r="B64" s="9" t="s">
        <v>343</v>
      </c>
      <c r="C64" s="1" t="str" cm="1">
        <f t="array" ref="C64">_xlfn.IFS(LEN(B64) &lt;= 25, "Short", AND(LEN(B64) &gt; 25, LEN(B64) &lt;= 50), "Medium", LEN(B64) &gt; 50, "Long")</f>
        <v>Long</v>
      </c>
      <c r="D64" t="s">
        <v>80</v>
      </c>
      <c r="E64" s="1" t="s">
        <v>82</v>
      </c>
      <c r="F64" s="1" t="b">
        <f t="shared" si="0"/>
        <v>0</v>
      </c>
    </row>
    <row r="65" spans="1:6" x14ac:dyDescent="0.3">
      <c r="A65" s="1">
        <v>134</v>
      </c>
      <c r="B65" s="9" t="s">
        <v>52</v>
      </c>
      <c r="C65" s="1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81</v>
      </c>
      <c r="F65" s="1" t="b">
        <f t="shared" si="0"/>
        <v>1</v>
      </c>
    </row>
    <row r="66" spans="1:6" x14ac:dyDescent="0.3">
      <c r="A66" s="1">
        <v>135</v>
      </c>
      <c r="B66" s="9" t="s">
        <v>37</v>
      </c>
      <c r="C66" s="1" t="str" cm="1">
        <f t="array" ref="C66">_xlfn.IFS(LEN(B66) &lt;= 25, "Short", AND(LEN(B66) &gt; 25, LEN(B66) &lt;= 50), "Medium", LEN(B66) &gt; 50, "Long")</f>
        <v>Short</v>
      </c>
      <c r="D66" t="s">
        <v>80</v>
      </c>
      <c r="E66" s="1" t="s">
        <v>80</v>
      </c>
      <c r="F66" s="1" t="b">
        <f t="shared" si="0"/>
        <v>1</v>
      </c>
    </row>
    <row r="67" spans="1:6" x14ac:dyDescent="0.3">
      <c r="A67" s="1">
        <v>136</v>
      </c>
      <c r="B67" s="9" t="s">
        <v>51</v>
      </c>
      <c r="C67" s="1" t="str" cm="1">
        <f t="array" ref="C67">_xlfn.IFS(LEN(B67) &lt;= 25, "Short", AND(LEN(B67) &gt; 25, LEN(B67) &lt;= 50), "Medium", LEN(B67) &gt; 50, "Long")</f>
        <v>Long</v>
      </c>
      <c r="D67" t="s">
        <v>81</v>
      </c>
      <c r="E67" s="1" t="s">
        <v>81</v>
      </c>
      <c r="F67" s="1" t="b">
        <f t="shared" ref="F67:F130" si="7">IF(D67=E67, TRUE, FALSE)</f>
        <v>1</v>
      </c>
    </row>
    <row r="68" spans="1:6" x14ac:dyDescent="0.3">
      <c r="A68" s="1">
        <v>137</v>
      </c>
      <c r="B68" s="9" t="s">
        <v>344</v>
      </c>
      <c r="C68" s="1" t="str" cm="1">
        <f t="array" ref="C68">_xlfn.IFS(LEN(B68) &lt;= 25, "Short", AND(LEN(B68) &gt; 25, LEN(B68) &lt;= 50), "Medium", LEN(B68) &gt; 50, "Long")</f>
        <v>Medium</v>
      </c>
      <c r="D68" t="s">
        <v>80</v>
      </c>
      <c r="E68" s="1" t="s">
        <v>82</v>
      </c>
      <c r="F68" s="1" t="b">
        <f t="shared" si="7"/>
        <v>0</v>
      </c>
    </row>
    <row r="69" spans="1:6" x14ac:dyDescent="0.3">
      <c r="A69" s="1">
        <v>138</v>
      </c>
      <c r="B69" s="9" t="s">
        <v>46</v>
      </c>
      <c r="C69" s="1" t="str" cm="1">
        <f t="array" ref="C69">_xlfn.IFS(LEN(B69) &lt;= 25, "Short", AND(LEN(B69) &gt; 25, LEN(B69) &lt;= 50), "Medium", LEN(B69) &gt; 50, "Long")</f>
        <v>Short</v>
      </c>
      <c r="D69" t="s">
        <v>80</v>
      </c>
      <c r="E69" s="1" t="s">
        <v>80</v>
      </c>
      <c r="F69" s="1" t="b">
        <f t="shared" si="7"/>
        <v>1</v>
      </c>
    </row>
    <row r="70" spans="1:6" x14ac:dyDescent="0.3">
      <c r="A70" s="1">
        <v>139</v>
      </c>
      <c r="B70" s="9" t="s">
        <v>345</v>
      </c>
      <c r="C70" s="1" t="str" cm="1">
        <f t="array" ref="C70">_xlfn.IFS(LEN(B70) &lt;= 25, "Short", AND(LEN(B70) &gt; 25, LEN(B70) &lt;= 50), "Medium", LEN(B70) &gt; 50, "Long")</f>
        <v>Short</v>
      </c>
      <c r="D70" t="s">
        <v>80</v>
      </c>
      <c r="E70" s="1" t="s">
        <v>252</v>
      </c>
      <c r="F70" s="1" t="b">
        <f t="shared" si="7"/>
        <v>0</v>
      </c>
    </row>
    <row r="71" spans="1:6" x14ac:dyDescent="0.3">
      <c r="A71" s="1">
        <v>140</v>
      </c>
      <c r="B71" s="9" t="s">
        <v>346</v>
      </c>
      <c r="C71" s="1" t="str" cm="1">
        <f t="array" ref="C71">_xlfn.IFS(LEN(B71) &lt;= 25, "Short", AND(LEN(B71) &gt; 25, LEN(B71) &lt;= 50), "Medium", LEN(B71) &gt; 50, "Long")</f>
        <v>Medium</v>
      </c>
      <c r="D71" t="s">
        <v>80</v>
      </c>
      <c r="E71" s="1" t="s">
        <v>81</v>
      </c>
      <c r="F71" s="1" t="b">
        <f t="shared" si="7"/>
        <v>0</v>
      </c>
    </row>
    <row r="72" spans="1:6" x14ac:dyDescent="0.3">
      <c r="A72" s="1">
        <v>141</v>
      </c>
      <c r="B72" s="9" t="s">
        <v>121</v>
      </c>
      <c r="C72" s="1" t="str" cm="1">
        <f t="array" ref="C72">_xlfn.IFS(LEN(B72) &lt;= 25, "Short", AND(LEN(B72) &gt; 25, LEN(B72) &lt;= 50), "Medium", LEN(B72) &gt; 50, "Long")</f>
        <v>Short</v>
      </c>
      <c r="D72" t="s">
        <v>252</v>
      </c>
      <c r="E72" s="1" t="s">
        <v>252</v>
      </c>
      <c r="F72" s="1" t="b">
        <f t="shared" si="7"/>
        <v>1</v>
      </c>
    </row>
    <row r="73" spans="1:6" x14ac:dyDescent="0.3">
      <c r="A73" s="1">
        <v>142</v>
      </c>
      <c r="B73" s="9" t="s">
        <v>122</v>
      </c>
      <c r="C73" s="1" t="str" cm="1">
        <f t="array" ref="C73">_xlfn.IFS(LEN(B73) &lt;= 25, "Short", AND(LEN(B73) &gt; 25, LEN(B73) &lt;= 50), "Medium", LEN(B73) &gt; 50, "Long")</f>
        <v>Medium</v>
      </c>
      <c r="D73" t="s">
        <v>252</v>
      </c>
      <c r="E73" s="1" t="s">
        <v>252</v>
      </c>
      <c r="F73" s="1" t="b">
        <f t="shared" si="7"/>
        <v>1</v>
      </c>
    </row>
    <row r="74" spans="1:6" x14ac:dyDescent="0.3">
      <c r="A74" s="1">
        <v>143</v>
      </c>
      <c r="B74" s="9" t="s">
        <v>347</v>
      </c>
      <c r="C74" s="1" t="str" cm="1">
        <f t="array" ref="C74">_xlfn.IFS(LEN(B74) &lt;= 25, "Short", AND(LEN(B74) &gt; 25, LEN(B74) &lt;= 50), "Medium", LEN(B74) &gt; 50, "Long")</f>
        <v>Short</v>
      </c>
      <c r="D74" t="s">
        <v>80</v>
      </c>
      <c r="E74" s="1" t="s">
        <v>82</v>
      </c>
      <c r="F74" s="1" t="b">
        <f t="shared" si="7"/>
        <v>0</v>
      </c>
    </row>
    <row r="75" spans="1:6" x14ac:dyDescent="0.3">
      <c r="A75" s="1">
        <v>144</v>
      </c>
      <c r="B75" s="9" t="s">
        <v>348</v>
      </c>
      <c r="C75" s="1" t="str" cm="1">
        <f t="array" ref="C75">_xlfn.IFS(LEN(B75) &lt;= 25, "Short", AND(LEN(B75) &gt; 25, LEN(B75) &lt;= 50), "Medium", LEN(B75) &gt; 50, "Long")</f>
        <v>Short</v>
      </c>
      <c r="D75" t="s">
        <v>252</v>
      </c>
      <c r="E75" s="1" t="s">
        <v>77</v>
      </c>
      <c r="F75" s="1" t="b">
        <f t="shared" si="7"/>
        <v>0</v>
      </c>
    </row>
    <row r="76" spans="1:6" x14ac:dyDescent="0.3">
      <c r="A76" s="1">
        <v>145</v>
      </c>
      <c r="B76" s="9" t="s">
        <v>68</v>
      </c>
      <c r="C76" s="1" t="str" cm="1">
        <f t="array" ref="C76">_xlfn.IFS(LEN(B76) &lt;= 25, "Short", AND(LEN(B76) &gt; 25, LEN(B76) &lt;= 50), "Medium", LEN(B76) &gt; 50, "Long")</f>
        <v>Medium</v>
      </c>
      <c r="D76" t="s">
        <v>80</v>
      </c>
      <c r="E76" s="1" t="s">
        <v>79</v>
      </c>
      <c r="F76" s="1" t="b">
        <f t="shared" si="7"/>
        <v>0</v>
      </c>
    </row>
    <row r="77" spans="1:6" x14ac:dyDescent="0.3">
      <c r="A77" s="1">
        <v>146</v>
      </c>
      <c r="B77" s="9" t="s">
        <v>42</v>
      </c>
      <c r="C77" s="1" t="str" cm="1">
        <f t="array" ref="C77">_xlfn.IFS(LEN(B77) &lt;= 25, "Short", AND(LEN(B77) &gt; 25, LEN(B77) &lt;= 50), "Medium", LEN(B77) &gt; 50, "Long")</f>
        <v>Short</v>
      </c>
      <c r="D77" t="s">
        <v>80</v>
      </c>
      <c r="E77" s="1" t="s">
        <v>82</v>
      </c>
      <c r="F77" s="1" t="b">
        <f t="shared" si="7"/>
        <v>0</v>
      </c>
    </row>
    <row r="78" spans="1:6" x14ac:dyDescent="0.3">
      <c r="A78" s="1">
        <v>147</v>
      </c>
      <c r="B78" s="9" t="s">
        <v>349</v>
      </c>
      <c r="C78" s="1" t="str" cm="1">
        <f t="array" ref="C78">_xlfn.IFS(LEN(B78) &lt;= 25, "Short", AND(LEN(B78) &gt; 25, LEN(B78) &lt;= 50), "Medium", LEN(B78) &gt; 50, "Long")</f>
        <v>Short</v>
      </c>
      <c r="D78" t="s">
        <v>252</v>
      </c>
      <c r="E78" s="1" t="s">
        <v>81</v>
      </c>
      <c r="F78" s="1" t="b">
        <f t="shared" si="7"/>
        <v>0</v>
      </c>
    </row>
    <row r="79" spans="1:6" x14ac:dyDescent="0.3">
      <c r="A79" s="1">
        <v>148</v>
      </c>
      <c r="B79" s="9" t="s">
        <v>44</v>
      </c>
      <c r="C79" s="1" t="str" cm="1">
        <f t="array" ref="C79">_xlfn.IFS(LEN(B79) &lt;= 25, "Short", AND(LEN(B79) &gt; 25, LEN(B79) &lt;= 50), "Medium", LEN(B79) &gt; 50, "Long")</f>
        <v>Medium</v>
      </c>
      <c r="D79" t="s">
        <v>252</v>
      </c>
      <c r="E79" s="1" t="s">
        <v>81</v>
      </c>
      <c r="F79" s="1" t="b">
        <f t="shared" si="7"/>
        <v>0</v>
      </c>
    </row>
    <row r="80" spans="1:6" x14ac:dyDescent="0.3">
      <c r="A80" s="1">
        <v>149</v>
      </c>
      <c r="B80" s="9" t="s">
        <v>48</v>
      </c>
      <c r="C80" s="1" t="str" cm="1">
        <f t="array" ref="C80">_xlfn.IFS(LEN(B80) &lt;= 25, "Short", AND(LEN(B80) &gt; 25, LEN(B80) &lt;= 50), "Medium", LEN(B80) &gt; 50, "Long")</f>
        <v>Short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150</v>
      </c>
      <c r="B81" s="9" t="s">
        <v>124</v>
      </c>
      <c r="C81" s="1" t="str" cm="1">
        <f t="array" ref="C81">_xlfn.IFS(LEN(B81) &lt;= 25, "Short", AND(LEN(B81) &gt; 25, LEN(B81) &lt;= 50), "Medium", LEN(B81) &gt; 50, "Long")</f>
        <v>Medium</v>
      </c>
      <c r="D81" t="s">
        <v>79</v>
      </c>
      <c r="E81" s="1" t="s">
        <v>79</v>
      </c>
      <c r="F81" s="1" t="b">
        <f t="shared" si="7"/>
        <v>1</v>
      </c>
    </row>
    <row r="82" spans="1:6" x14ac:dyDescent="0.3">
      <c r="A82" s="1">
        <v>151</v>
      </c>
      <c r="B82" s="9" t="s">
        <v>125</v>
      </c>
      <c r="C82" s="1" t="str" cm="1">
        <f t="array" ref="C82">_xlfn.IFS(LEN(B82) &lt;= 25, "Short", AND(LEN(B82) &gt; 25, LEN(B82) &lt;= 50), "Medium", LEN(B82) &gt; 50, "Long")</f>
        <v>Short</v>
      </c>
      <c r="D82" t="s">
        <v>80</v>
      </c>
      <c r="E82" s="1" t="s">
        <v>80</v>
      </c>
      <c r="F82" s="1" t="b">
        <f t="shared" si="7"/>
        <v>1</v>
      </c>
    </row>
    <row r="83" spans="1:6" x14ac:dyDescent="0.3">
      <c r="A83" s="1">
        <v>152</v>
      </c>
      <c r="B83" s="9" t="s">
        <v>126</v>
      </c>
      <c r="C83" s="1" t="str" cm="1">
        <f t="array" ref="C83">_xlfn.IFS(LEN(B83) &lt;= 25, "Short", AND(LEN(B83) &gt; 25, LEN(B83) &lt;= 50), "Medium", LEN(B83) &gt; 50, "Long")</f>
        <v>Long</v>
      </c>
      <c r="D83" t="s">
        <v>252</v>
      </c>
      <c r="E83" s="1" t="s">
        <v>81</v>
      </c>
      <c r="F83" s="1" t="b">
        <f t="shared" si="7"/>
        <v>0</v>
      </c>
    </row>
    <row r="84" spans="1:6" x14ac:dyDescent="0.3">
      <c r="A84" s="1">
        <v>153</v>
      </c>
      <c r="B84" s="9" t="s">
        <v>350</v>
      </c>
      <c r="C84" s="1" t="str" cm="1">
        <f t="array" ref="C84">_xlfn.IFS(LEN(B84) &lt;= 25, "Short", AND(LEN(B84) &gt; 25, LEN(B84) &lt;= 50), "Medium", LEN(B84) &gt; 50, "Long")</f>
        <v>Medium</v>
      </c>
      <c r="D84" t="s">
        <v>80</v>
      </c>
      <c r="E84" s="1" t="s">
        <v>252</v>
      </c>
      <c r="F84" s="1" t="b">
        <f t="shared" si="7"/>
        <v>0</v>
      </c>
    </row>
    <row r="85" spans="1:6" x14ac:dyDescent="0.3">
      <c r="A85" s="1">
        <v>154</v>
      </c>
      <c r="B85" s="9" t="s">
        <v>13</v>
      </c>
      <c r="C85" s="1" t="str" cm="1">
        <f t="array" ref="C85">_xlfn.IFS(LEN(B85) &lt;= 25, "Short", AND(LEN(B85) &gt; 25, LEN(B85) &lt;= 50), "Medium", LEN(B85) &gt; 50, "Long")</f>
        <v>Short</v>
      </c>
      <c r="D85" t="s">
        <v>79</v>
      </c>
      <c r="E85" s="1" t="s">
        <v>77</v>
      </c>
      <c r="F85" s="1" t="b">
        <f t="shared" si="7"/>
        <v>0</v>
      </c>
    </row>
    <row r="86" spans="1:6" x14ac:dyDescent="0.3">
      <c r="A86" s="1">
        <v>155</v>
      </c>
      <c r="B86" s="9" t="s">
        <v>50</v>
      </c>
      <c r="C86" s="1" t="str" cm="1">
        <f t="array" ref="C86">_xlfn.IFS(LEN(B86) &lt;= 25, "Short", AND(LEN(B86) &gt; 25, LEN(B86) &lt;= 50), "Medium", LEN(B86) &gt; 50, "Long")</f>
        <v>Short</v>
      </c>
      <c r="D86" t="s">
        <v>80</v>
      </c>
      <c r="E86" s="1" t="s">
        <v>79</v>
      </c>
      <c r="F86" s="1" t="b">
        <f t="shared" si="7"/>
        <v>0</v>
      </c>
    </row>
    <row r="87" spans="1:6" x14ac:dyDescent="0.3">
      <c r="A87" s="1">
        <v>156</v>
      </c>
      <c r="B87" s="9" t="s">
        <v>343</v>
      </c>
      <c r="C87" s="1" t="str" cm="1">
        <f t="array" ref="C87">_xlfn.IFS(LEN(B87) &lt;= 25, "Short", AND(LEN(B87) &gt; 25, LEN(B87) &lt;= 50), "Medium", LEN(B87) &gt; 50, "Long")</f>
        <v>Long</v>
      </c>
      <c r="D87" t="s">
        <v>80</v>
      </c>
      <c r="E87" s="1" t="s">
        <v>82</v>
      </c>
      <c r="F87" s="1" t="b">
        <f t="shared" si="7"/>
        <v>0</v>
      </c>
    </row>
    <row r="88" spans="1:6" x14ac:dyDescent="0.3">
      <c r="A88" s="1">
        <v>157</v>
      </c>
      <c r="B88" s="9" t="s">
        <v>351</v>
      </c>
      <c r="C88" s="1" t="str" cm="1">
        <f t="array" ref="C88">_xlfn.IFS(LEN(B88) &lt;= 25, "Short", AND(LEN(B88) &gt; 25, LEN(B88) &lt;= 50), "Medium", LEN(B88) &gt; 50, "Long")</f>
        <v>Medium</v>
      </c>
      <c r="D88" t="s">
        <v>252</v>
      </c>
      <c r="E88" s="1" t="s">
        <v>252</v>
      </c>
      <c r="F88" s="1" t="b">
        <f t="shared" si="7"/>
        <v>1</v>
      </c>
    </row>
    <row r="89" spans="1:6" x14ac:dyDescent="0.3">
      <c r="A89" s="1">
        <v>158</v>
      </c>
      <c r="B89" s="9" t="s">
        <v>130</v>
      </c>
      <c r="C89" s="1" t="str" cm="1">
        <f t="array" ref="C89">_xlfn.IFS(LEN(B89) &lt;= 25, "Short", AND(LEN(B89) &gt; 25, LEN(B89) &lt;= 50), "Medium", LEN(B89) &gt; 50, "Long")</f>
        <v>Short</v>
      </c>
      <c r="D89" t="s">
        <v>80</v>
      </c>
      <c r="E89" s="1" t="s">
        <v>80</v>
      </c>
      <c r="F89" s="1" t="b">
        <f t="shared" si="7"/>
        <v>1</v>
      </c>
    </row>
    <row r="90" spans="1:6" x14ac:dyDescent="0.3">
      <c r="A90" s="1">
        <v>159</v>
      </c>
      <c r="B90" s="9" t="s">
        <v>352</v>
      </c>
      <c r="C90" s="1" t="str" cm="1">
        <f t="array" ref="C90">_xlfn.IFS(LEN(B90) &lt;= 25, "Short", AND(LEN(B90) &gt; 25, LEN(B90) &lt;= 50), "Medium", LEN(B90) &gt; 50, "Long")</f>
        <v>Medium</v>
      </c>
      <c r="D90" t="s">
        <v>80</v>
      </c>
      <c r="E90" s="1" t="s">
        <v>82</v>
      </c>
      <c r="F90" s="1" t="b">
        <f t="shared" si="7"/>
        <v>0</v>
      </c>
    </row>
    <row r="91" spans="1:6" x14ac:dyDescent="0.3">
      <c r="A91" s="1">
        <v>160</v>
      </c>
      <c r="B91" s="9" t="s">
        <v>353</v>
      </c>
      <c r="C91" s="1" t="str" cm="1">
        <f t="array" ref="C91">_xlfn.IFS(LEN(B91) &lt;= 25, "Short", AND(LEN(B91) &gt; 25, LEN(B91) &lt;= 50), "Medium", LEN(B91) &gt; 50, "Long")</f>
        <v>Medium</v>
      </c>
      <c r="D91" t="s">
        <v>79</v>
      </c>
      <c r="E91" s="1" t="s">
        <v>79</v>
      </c>
      <c r="F91" s="1" t="b">
        <f t="shared" si="7"/>
        <v>1</v>
      </c>
    </row>
    <row r="92" spans="1:6" x14ac:dyDescent="0.3">
      <c r="A92" s="1">
        <v>161</v>
      </c>
      <c r="B92" s="9" t="s">
        <v>354</v>
      </c>
      <c r="C92" s="1" t="str" cm="1">
        <f t="array" ref="C92">_xlfn.IFS(LEN(B92) &lt;= 25, "Short", AND(LEN(B92) &gt; 25, LEN(B92) &lt;= 50), "Medium", LEN(B92) &gt; 50, "Long")</f>
        <v>Short</v>
      </c>
      <c r="D92" t="s">
        <v>80</v>
      </c>
      <c r="E92" s="1" t="s">
        <v>82</v>
      </c>
      <c r="F92" s="1" t="b">
        <f t="shared" si="7"/>
        <v>0</v>
      </c>
    </row>
    <row r="93" spans="1:6" x14ac:dyDescent="0.3">
      <c r="A93" s="1">
        <v>162</v>
      </c>
      <c r="B93" s="9" t="s">
        <v>355</v>
      </c>
      <c r="C93" s="1" t="str" cm="1">
        <f t="array" ref="C93">_xlfn.IFS(LEN(B93) &lt;= 25, "Short", AND(LEN(B93) &gt; 25, LEN(B93) &lt;= 50), "Medium", LEN(B93) &gt; 50, "Long")</f>
        <v>Medium</v>
      </c>
      <c r="D93" t="s">
        <v>80</v>
      </c>
      <c r="E93" s="1" t="s">
        <v>77</v>
      </c>
      <c r="F93" s="1" t="b">
        <f t="shared" si="7"/>
        <v>0</v>
      </c>
    </row>
    <row r="94" spans="1:6" x14ac:dyDescent="0.3">
      <c r="A94" s="1">
        <v>163</v>
      </c>
      <c r="B94" s="9" t="s">
        <v>356</v>
      </c>
      <c r="C94" s="1" t="str" cm="1">
        <f t="array" ref="C94">_xlfn.IFS(LEN(B94) &lt;= 25, "Short", AND(LEN(B94) &gt; 25, LEN(B94) &lt;= 50), "Medium", LEN(B94) &gt; 50, "Long")</f>
        <v>Medium</v>
      </c>
      <c r="D94" t="s">
        <v>77</v>
      </c>
      <c r="E94" s="1" t="s">
        <v>77</v>
      </c>
      <c r="F94" s="1" t="b">
        <f t="shared" si="7"/>
        <v>1</v>
      </c>
    </row>
    <row r="95" spans="1:6" x14ac:dyDescent="0.3">
      <c r="A95" s="1">
        <v>164</v>
      </c>
      <c r="B95" s="9" t="s">
        <v>357</v>
      </c>
      <c r="C95" s="1" t="str" cm="1">
        <f t="array" ref="C95">_xlfn.IFS(LEN(B95) &lt;= 25, "Short", AND(LEN(B95) &gt; 25, LEN(B95) &lt;= 50), "Medium", LEN(B95) &gt; 50, "Long")</f>
        <v>Short</v>
      </c>
      <c r="D95" t="s">
        <v>80</v>
      </c>
      <c r="E95" s="1" t="s">
        <v>77</v>
      </c>
      <c r="F95" s="1" t="b">
        <f t="shared" si="7"/>
        <v>0</v>
      </c>
    </row>
    <row r="96" spans="1:6" x14ac:dyDescent="0.3">
      <c r="A96" s="1">
        <v>165</v>
      </c>
      <c r="B96" s="9" t="s">
        <v>35</v>
      </c>
      <c r="C96" s="1" t="str" cm="1">
        <f t="array" ref="C96">_xlfn.IFS(LEN(B96) &lt;= 25, "Short", AND(LEN(B96) &gt; 25, LEN(B96) &lt;= 50), "Medium", LEN(B96) &gt; 50, "Long")</f>
        <v>Medium</v>
      </c>
      <c r="D96" t="s">
        <v>76</v>
      </c>
      <c r="E96" s="1" t="s">
        <v>76</v>
      </c>
      <c r="F96" s="1" t="b">
        <f t="shared" si="7"/>
        <v>1</v>
      </c>
    </row>
    <row r="97" spans="1:6" x14ac:dyDescent="0.3">
      <c r="A97" s="1">
        <v>166</v>
      </c>
      <c r="B97" s="9" t="s">
        <v>133</v>
      </c>
      <c r="C97" s="1" t="str" cm="1">
        <f t="array" ref="C97">_xlfn.IFS(LEN(B97) &lt;= 25, "Short", AND(LEN(B97) &gt; 25, LEN(B97) &lt;= 50), "Medium", LEN(B97) &gt; 50, "Long")</f>
        <v>Medium</v>
      </c>
      <c r="D97" t="s">
        <v>252</v>
      </c>
      <c r="E97" s="1" t="s">
        <v>82</v>
      </c>
      <c r="F97" s="1" t="b">
        <f t="shared" si="7"/>
        <v>0</v>
      </c>
    </row>
    <row r="98" spans="1:6" x14ac:dyDescent="0.3">
      <c r="A98" s="1">
        <v>167</v>
      </c>
      <c r="B98" s="9" t="s">
        <v>358</v>
      </c>
      <c r="C98" s="1" t="str" cm="1">
        <f t="array" ref="C98">_xlfn.IFS(LEN(B98) &lt;= 25, "Short", AND(LEN(B98) &gt; 25, LEN(B98) &lt;= 50), "Medium", LEN(B98) &gt; 50, "Long")</f>
        <v>Short</v>
      </c>
      <c r="D98" t="s">
        <v>80</v>
      </c>
      <c r="E98" s="1" t="s">
        <v>80</v>
      </c>
      <c r="F98" s="1" t="b">
        <f t="shared" si="7"/>
        <v>1</v>
      </c>
    </row>
    <row r="99" spans="1:6" x14ac:dyDescent="0.3">
      <c r="A99" s="1">
        <v>168</v>
      </c>
      <c r="B99" s="9" t="s">
        <v>359</v>
      </c>
      <c r="C99" s="1" t="str" cm="1">
        <f t="array" ref="C99">_xlfn.IFS(LEN(B99) &lt;= 25, "Short", AND(LEN(B99) &gt; 25, LEN(B99) &lt;= 50), "Medium", LEN(B99) &gt; 50, "Long")</f>
        <v>Short</v>
      </c>
      <c r="D99" t="s">
        <v>81</v>
      </c>
      <c r="E99" s="1" t="s">
        <v>77</v>
      </c>
      <c r="F99" s="1" t="b">
        <f t="shared" si="7"/>
        <v>0</v>
      </c>
    </row>
    <row r="100" spans="1:6" x14ac:dyDescent="0.3">
      <c r="A100" s="1">
        <v>169</v>
      </c>
      <c r="B100" s="9" t="s">
        <v>360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81</v>
      </c>
      <c r="E100" s="1" t="s">
        <v>79</v>
      </c>
      <c r="F100" s="1" t="b">
        <f t="shared" si="7"/>
        <v>0</v>
      </c>
    </row>
    <row r="101" spans="1:6" x14ac:dyDescent="0.3">
      <c r="A101" s="1">
        <v>170</v>
      </c>
      <c r="B101" s="9" t="s">
        <v>361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80</v>
      </c>
      <c r="E101" s="1" t="s">
        <v>252</v>
      </c>
      <c r="F101" s="1" t="b">
        <f t="shared" si="7"/>
        <v>0</v>
      </c>
    </row>
    <row r="102" spans="1:6" x14ac:dyDescent="0.3">
      <c r="A102" s="1">
        <v>171</v>
      </c>
      <c r="B102" s="9" t="s">
        <v>362</v>
      </c>
      <c r="C102" s="1" t="str" cm="1">
        <f t="array" ref="C102">_xlfn.IFS(LEN(B102) &lt;= 25, "Short", AND(LEN(B102) &gt; 25, LEN(B102) &lt;= 50), "Medium", LEN(B102) &gt; 50, "Long")</f>
        <v>Short</v>
      </c>
      <c r="D102" t="s">
        <v>81</v>
      </c>
      <c r="E102" s="1" t="s">
        <v>81</v>
      </c>
      <c r="F102" s="1" t="b">
        <f t="shared" si="7"/>
        <v>1</v>
      </c>
    </row>
    <row r="103" spans="1:6" x14ac:dyDescent="0.3">
      <c r="A103" s="1">
        <v>172</v>
      </c>
      <c r="B103" s="9" t="s">
        <v>363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79</v>
      </c>
      <c r="E103" s="1" t="s">
        <v>80</v>
      </c>
      <c r="F103" s="1" t="b">
        <f t="shared" si="7"/>
        <v>0</v>
      </c>
    </row>
    <row r="104" spans="1:6" x14ac:dyDescent="0.3">
      <c r="A104" s="1">
        <v>173</v>
      </c>
      <c r="B104" s="9" t="s">
        <v>364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80</v>
      </c>
      <c r="E104" s="1" t="s">
        <v>77</v>
      </c>
      <c r="F104" s="1" t="b">
        <f t="shared" si="7"/>
        <v>0</v>
      </c>
    </row>
    <row r="105" spans="1:6" x14ac:dyDescent="0.3">
      <c r="A105" s="1">
        <v>174</v>
      </c>
      <c r="B105" s="9" t="s">
        <v>365</v>
      </c>
      <c r="C105" s="1" t="str" cm="1">
        <f t="array" ref="C105">_xlfn.IFS(LEN(B105) &lt;= 25, "Short", AND(LEN(B105) &gt; 25, LEN(B105) &lt;= 50), "Medium", LEN(B105) &gt; 50, "Long")</f>
        <v>Medium</v>
      </c>
      <c r="D105" t="s">
        <v>80</v>
      </c>
      <c r="E105" s="1" t="s">
        <v>80</v>
      </c>
      <c r="F105" s="1" t="b">
        <f t="shared" si="7"/>
        <v>1</v>
      </c>
    </row>
    <row r="106" spans="1:6" x14ac:dyDescent="0.3">
      <c r="A106" s="1">
        <v>175</v>
      </c>
      <c r="B106" s="9" t="s">
        <v>366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81</v>
      </c>
      <c r="E106" s="1" t="s">
        <v>81</v>
      </c>
      <c r="F106" s="1" t="b">
        <f t="shared" si="7"/>
        <v>1</v>
      </c>
    </row>
    <row r="107" spans="1:6" x14ac:dyDescent="0.3">
      <c r="A107" s="1">
        <v>176</v>
      </c>
      <c r="B107" s="9" t="s">
        <v>367</v>
      </c>
      <c r="C107" s="1" t="str" cm="1">
        <f t="array" ref="C107">_xlfn.IFS(LEN(B107) &lt;= 25, "Short", AND(LEN(B107) &gt; 25, LEN(B107) &lt;= 50), "Medium", LEN(B107) &gt; 50, "Long")</f>
        <v>Long</v>
      </c>
      <c r="D107" t="s">
        <v>81</v>
      </c>
      <c r="E107" s="1" t="s">
        <v>79</v>
      </c>
      <c r="F107" s="1" t="b">
        <f t="shared" si="7"/>
        <v>0</v>
      </c>
    </row>
    <row r="108" spans="1:6" x14ac:dyDescent="0.3">
      <c r="A108" s="1">
        <v>177</v>
      </c>
      <c r="B108" s="9" t="s">
        <v>368</v>
      </c>
      <c r="C108" s="1" t="str" cm="1">
        <f t="array" ref="C108">_xlfn.IFS(LEN(B108) &lt;= 25, "Short", AND(LEN(B108) &gt; 25, LEN(B108) &lt;= 50), "Medium", LEN(B108) &gt; 50, "Long")</f>
        <v>Short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178</v>
      </c>
      <c r="B109" s="9" t="s">
        <v>369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80</v>
      </c>
      <c r="E109" s="1" t="s">
        <v>79</v>
      </c>
      <c r="F109" s="1" t="b">
        <f t="shared" si="7"/>
        <v>0</v>
      </c>
    </row>
    <row r="110" spans="1:6" x14ac:dyDescent="0.3">
      <c r="A110" s="1">
        <v>179</v>
      </c>
      <c r="B110" s="9" t="s">
        <v>370</v>
      </c>
      <c r="C110" s="1" t="str" cm="1">
        <f t="array" ref="C110">_xlfn.IFS(LEN(B110) &lt;= 25, "Short", AND(LEN(B110) &gt; 25, LEN(B110) &lt;= 50), "Medium", LEN(B110) &gt; 50, "Long")</f>
        <v>Long</v>
      </c>
      <c r="D110" t="s">
        <v>80</v>
      </c>
      <c r="E110" s="1" t="s">
        <v>252</v>
      </c>
      <c r="F110" s="1" t="b">
        <f t="shared" si="7"/>
        <v>0</v>
      </c>
    </row>
    <row r="111" spans="1:6" x14ac:dyDescent="0.3">
      <c r="A111" s="1">
        <v>180</v>
      </c>
      <c r="B111" s="9" t="s">
        <v>371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80</v>
      </c>
      <c r="E111" s="1" t="s">
        <v>82</v>
      </c>
      <c r="F111" s="1" t="b">
        <f t="shared" si="7"/>
        <v>0</v>
      </c>
    </row>
    <row r="112" spans="1:6" x14ac:dyDescent="0.3">
      <c r="A112" s="1">
        <v>181</v>
      </c>
      <c r="B112" s="9" t="s">
        <v>372</v>
      </c>
      <c r="C112" s="1" t="str" cm="1">
        <f t="array" ref="C112">_xlfn.IFS(LEN(B112) &lt;= 25, "Short", AND(LEN(B112) &gt; 25, LEN(B112) &lt;= 50), "Medium", LEN(B112) &gt; 50, "Long")</f>
        <v>Short</v>
      </c>
      <c r="D112" t="s">
        <v>252</v>
      </c>
      <c r="E112" s="1" t="s">
        <v>252</v>
      </c>
      <c r="F112" s="1" t="b">
        <f t="shared" si="7"/>
        <v>1</v>
      </c>
    </row>
    <row r="113" spans="1:6" x14ac:dyDescent="0.3">
      <c r="A113" s="1">
        <v>182</v>
      </c>
      <c r="B113" s="9" t="s">
        <v>373</v>
      </c>
      <c r="C113" s="1" t="str" cm="1">
        <f t="array" ref="C113">_xlfn.IFS(LEN(B113) &lt;= 25, "Short", AND(LEN(B113) &gt; 25, LEN(B113) &lt;= 50), "Medium", LEN(B113) &gt; 50, "Long")</f>
        <v>Long</v>
      </c>
      <c r="D113" t="s">
        <v>80</v>
      </c>
      <c r="E113" s="1" t="s">
        <v>82</v>
      </c>
      <c r="F113" s="1" t="b">
        <f t="shared" si="7"/>
        <v>0</v>
      </c>
    </row>
    <row r="114" spans="1:6" x14ac:dyDescent="0.3">
      <c r="A114" s="1">
        <v>183</v>
      </c>
      <c r="B114" s="9" t="s">
        <v>15</v>
      </c>
      <c r="C114" s="1" t="str" cm="1">
        <f t="array" ref="C114">_xlfn.IFS(LEN(B114) &lt;= 25, "Short", AND(LEN(B114) &gt; 25, LEN(B114) &lt;= 50), "Medium", LEN(B114) &gt; 50, "Long")</f>
        <v>Medium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184</v>
      </c>
      <c r="B115" s="9" t="s">
        <v>374</v>
      </c>
      <c r="C115" s="1" t="str" cm="1">
        <f t="array" ref="C115">_xlfn.IFS(LEN(B115) &lt;= 25, "Short", AND(LEN(B115) &gt; 25, LEN(B115) &lt;= 50), "Medium", LEN(B115) &gt; 50, "Long")</f>
        <v>Long</v>
      </c>
      <c r="D115" t="s">
        <v>81</v>
      </c>
      <c r="E115" s="1" t="s">
        <v>82</v>
      </c>
      <c r="F115" s="1" t="b">
        <f t="shared" si="7"/>
        <v>0</v>
      </c>
    </row>
    <row r="116" spans="1:6" x14ac:dyDescent="0.3">
      <c r="A116" s="1">
        <v>185</v>
      </c>
      <c r="B116" s="9" t="s">
        <v>144</v>
      </c>
      <c r="C116" s="1" t="str" cm="1">
        <f t="array" ref="C116">_xlfn.IFS(LEN(B116) &lt;= 25, "Short", AND(LEN(B116) &gt; 25, LEN(B116) &lt;= 50), "Medium", LEN(B116) &gt; 50, "Long")</f>
        <v>Short</v>
      </c>
      <c r="D116" t="s">
        <v>81</v>
      </c>
      <c r="E116" s="1" t="s">
        <v>81</v>
      </c>
      <c r="F116" s="1" t="b">
        <f t="shared" si="7"/>
        <v>1</v>
      </c>
    </row>
    <row r="117" spans="1:6" x14ac:dyDescent="0.3">
      <c r="A117" s="1">
        <v>186</v>
      </c>
      <c r="B117" s="9" t="s">
        <v>375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80</v>
      </c>
      <c r="E117" s="1" t="s">
        <v>82</v>
      </c>
      <c r="F117" s="1" t="b">
        <f t="shared" si="7"/>
        <v>0</v>
      </c>
    </row>
    <row r="118" spans="1:6" x14ac:dyDescent="0.3">
      <c r="A118" s="1">
        <v>187</v>
      </c>
      <c r="B118" s="9" t="s">
        <v>376</v>
      </c>
      <c r="C118" s="1" t="str" cm="1">
        <f t="array" ref="C118">_xlfn.IFS(LEN(B118) &lt;= 25, "Short", AND(LEN(B118) &gt; 25, LEN(B118) &lt;= 50), "Medium", LEN(B118) &gt; 50, "Long")</f>
        <v>Short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188</v>
      </c>
      <c r="B119" s="9" t="s">
        <v>63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252</v>
      </c>
      <c r="E119" s="1" t="s">
        <v>252</v>
      </c>
      <c r="F119" s="1" t="b">
        <f t="shared" si="7"/>
        <v>1</v>
      </c>
    </row>
    <row r="120" spans="1:6" x14ac:dyDescent="0.3">
      <c r="A120" s="1">
        <v>189</v>
      </c>
      <c r="B120" s="9" t="s">
        <v>377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80</v>
      </c>
      <c r="E120" s="1" t="s">
        <v>82</v>
      </c>
      <c r="F120" s="1" t="b">
        <f t="shared" si="7"/>
        <v>0</v>
      </c>
    </row>
    <row r="121" spans="1:6" x14ac:dyDescent="0.3">
      <c r="A121" s="1">
        <v>190</v>
      </c>
      <c r="B121" s="9" t="s">
        <v>378</v>
      </c>
      <c r="C121" s="1" t="str" cm="1">
        <f t="array" ref="C121">_xlfn.IFS(LEN(B121) &lt;= 25, "Short", AND(LEN(B121) &gt; 25, LEN(B121) &lt;= 50), "Medium", LEN(B121) &gt; 50, "Long")</f>
        <v>Short</v>
      </c>
      <c r="D121" t="s">
        <v>80</v>
      </c>
      <c r="E121" s="1" t="s">
        <v>80</v>
      </c>
      <c r="F121" s="1" t="b">
        <f t="shared" si="7"/>
        <v>1</v>
      </c>
    </row>
    <row r="122" spans="1:6" x14ac:dyDescent="0.3">
      <c r="A122" s="1">
        <v>191</v>
      </c>
      <c r="B122" s="9" t="s">
        <v>379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76</v>
      </c>
      <c r="E122" s="1" t="s">
        <v>76</v>
      </c>
      <c r="F122" s="1" t="b">
        <f t="shared" si="7"/>
        <v>1</v>
      </c>
    </row>
    <row r="123" spans="1:6" x14ac:dyDescent="0.3">
      <c r="A123" s="1">
        <v>192</v>
      </c>
      <c r="B123" s="9" t="s">
        <v>148</v>
      </c>
      <c r="C123" s="1" t="str" cm="1">
        <f t="array" ref="C123">_xlfn.IFS(LEN(B123) &lt;= 25, "Short", AND(LEN(B123) &gt; 25, LEN(B123) &lt;= 50), "Medium", LEN(B123) &gt; 50, "Long")</f>
        <v>Medium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193</v>
      </c>
      <c r="B124" s="9" t="s">
        <v>149</v>
      </c>
      <c r="C124" s="1" t="str" cm="1">
        <f t="array" ref="C124">_xlfn.IFS(LEN(B124) &lt;= 25, "Short", AND(LEN(B124) &gt; 25, LEN(B124) &lt;= 50), "Medium", LEN(B124) &gt; 50, "Long")</f>
        <v>Medium</v>
      </c>
      <c r="D124" t="s">
        <v>76</v>
      </c>
      <c r="E124" s="1" t="s">
        <v>76</v>
      </c>
      <c r="F124" s="1" t="b">
        <f t="shared" si="7"/>
        <v>1</v>
      </c>
    </row>
    <row r="125" spans="1:6" x14ac:dyDescent="0.3">
      <c r="A125" s="1">
        <v>194</v>
      </c>
      <c r="B125" s="9" t="s">
        <v>380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80</v>
      </c>
      <c r="E125" s="1" t="s">
        <v>80</v>
      </c>
      <c r="F125" s="1" t="b">
        <f t="shared" si="7"/>
        <v>1</v>
      </c>
    </row>
    <row r="126" spans="1:6" x14ac:dyDescent="0.3">
      <c r="A126" s="1">
        <v>195</v>
      </c>
      <c r="B126" s="9" t="s">
        <v>381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80</v>
      </c>
      <c r="E126" s="1" t="s">
        <v>79</v>
      </c>
      <c r="F126" s="1" t="b">
        <f t="shared" si="7"/>
        <v>0</v>
      </c>
    </row>
    <row r="127" spans="1:6" x14ac:dyDescent="0.3">
      <c r="A127" s="1">
        <v>196</v>
      </c>
      <c r="B127" s="9" t="s">
        <v>32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76</v>
      </c>
      <c r="E127" s="1" t="s">
        <v>76</v>
      </c>
      <c r="F127" s="1" t="b">
        <f t="shared" si="7"/>
        <v>1</v>
      </c>
    </row>
    <row r="128" spans="1:6" x14ac:dyDescent="0.3">
      <c r="A128" s="1">
        <v>197</v>
      </c>
      <c r="B128" s="9" t="s">
        <v>382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76</v>
      </c>
      <c r="E128" s="1" t="s">
        <v>80</v>
      </c>
      <c r="F128" s="1" t="b">
        <f t="shared" si="7"/>
        <v>0</v>
      </c>
    </row>
    <row r="129" spans="1:6" x14ac:dyDescent="0.3">
      <c r="A129" s="1">
        <v>198</v>
      </c>
      <c r="B129" s="9" t="s">
        <v>151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252</v>
      </c>
      <c r="E129" s="1" t="s">
        <v>252</v>
      </c>
      <c r="F129" s="1" t="b">
        <f t="shared" si="7"/>
        <v>1</v>
      </c>
    </row>
    <row r="130" spans="1:6" x14ac:dyDescent="0.3">
      <c r="A130" s="1">
        <v>199</v>
      </c>
      <c r="B130" s="9" t="s">
        <v>383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81</v>
      </c>
      <c r="E130" s="1" t="s">
        <v>252</v>
      </c>
      <c r="F130" s="1" t="b">
        <f t="shared" si="7"/>
        <v>0</v>
      </c>
    </row>
    <row r="131" spans="1:6" x14ac:dyDescent="0.3">
      <c r="A131" s="1">
        <v>200</v>
      </c>
      <c r="B131" s="9" t="s">
        <v>11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76</v>
      </c>
      <c r="F131" s="1" t="b">
        <f t="shared" ref="F131:F141" si="8">IF(D131=E131, TRUE, FALSE)</f>
        <v>1</v>
      </c>
    </row>
    <row r="132" spans="1:6" x14ac:dyDescent="0.3">
      <c r="A132" s="1">
        <v>201</v>
      </c>
      <c r="B132" s="9" t="s">
        <v>384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202</v>
      </c>
      <c r="B133" s="9" t="s">
        <v>22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80</v>
      </c>
      <c r="E133" s="1" t="s">
        <v>80</v>
      </c>
      <c r="F133" s="1" t="b">
        <f t="shared" si="8"/>
        <v>1</v>
      </c>
    </row>
    <row r="134" spans="1:6" x14ac:dyDescent="0.3">
      <c r="A134" s="1">
        <v>203</v>
      </c>
      <c r="B134" s="9" t="s">
        <v>31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80</v>
      </c>
      <c r="E134" s="1" t="s">
        <v>79</v>
      </c>
      <c r="F134" s="1" t="b">
        <f t="shared" si="8"/>
        <v>0</v>
      </c>
    </row>
    <row r="135" spans="1:6" x14ac:dyDescent="0.3">
      <c r="A135" s="1">
        <v>204</v>
      </c>
      <c r="B135" s="9" t="s">
        <v>153</v>
      </c>
      <c r="C135" s="1" t="str" cm="1">
        <f t="array" ref="C135">_xlfn.IFS(LEN(B135) &lt;= 25, "Short", AND(LEN(B135) &gt; 25, LEN(B135) &lt;= 50), "Medium", LEN(B135) &gt; 50, "Long")</f>
        <v>Short</v>
      </c>
      <c r="D135" t="s">
        <v>80</v>
      </c>
      <c r="E135" s="1" t="s">
        <v>80</v>
      </c>
      <c r="F135" s="1" t="b">
        <f t="shared" si="8"/>
        <v>1</v>
      </c>
    </row>
    <row r="136" spans="1:6" x14ac:dyDescent="0.3">
      <c r="A136" s="1">
        <v>205</v>
      </c>
      <c r="B136" s="9" t="s">
        <v>385</v>
      </c>
      <c r="C136" s="1" t="str" cm="1">
        <f t="array" ref="C136">_xlfn.IFS(LEN(B136) &lt;= 25, "Short", AND(LEN(B136) &gt; 25, LEN(B136) &lt;= 50), "Medium", LEN(B136) &gt; 50, "Long")</f>
        <v>Short</v>
      </c>
      <c r="D136" t="s">
        <v>252</v>
      </c>
      <c r="E136" s="1" t="s">
        <v>252</v>
      </c>
      <c r="F136" s="1" t="b">
        <f t="shared" si="8"/>
        <v>1</v>
      </c>
    </row>
    <row r="137" spans="1:6" x14ac:dyDescent="0.3">
      <c r="A137" s="1">
        <v>206</v>
      </c>
      <c r="B137" s="9" t="s">
        <v>386</v>
      </c>
      <c r="C137" s="1" t="str" cm="1">
        <f t="array" ref="C137">_xlfn.IFS(LEN(B137) &lt;= 25, "Short", AND(LEN(B137) &gt; 25, LEN(B137) &lt;= 50), "Medium", LEN(B137) &gt; 50, "Long")</f>
        <v>Short</v>
      </c>
      <c r="D137" t="s">
        <v>252</v>
      </c>
      <c r="E137" s="1" t="s">
        <v>252</v>
      </c>
      <c r="F137" s="1" t="b">
        <f t="shared" si="8"/>
        <v>1</v>
      </c>
    </row>
    <row r="138" spans="1:6" x14ac:dyDescent="0.3">
      <c r="A138" s="1">
        <v>207</v>
      </c>
      <c r="B138" s="9" t="s">
        <v>387</v>
      </c>
      <c r="C138" s="1" t="str" cm="1">
        <f t="array" ref="C138">_xlfn.IFS(LEN(B138) &lt;= 25, "Short", AND(LEN(B138) &gt; 25, LEN(B138) &lt;= 50), "Medium", LEN(B138) &gt; 50, "Long")</f>
        <v>Medium</v>
      </c>
      <c r="D138" t="s">
        <v>80</v>
      </c>
      <c r="E138" s="1" t="s">
        <v>80</v>
      </c>
      <c r="F138" s="1" t="b">
        <f t="shared" si="8"/>
        <v>1</v>
      </c>
    </row>
    <row r="139" spans="1:6" x14ac:dyDescent="0.3">
      <c r="A139" s="1">
        <v>208</v>
      </c>
      <c r="B139" s="9" t="s">
        <v>388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81</v>
      </c>
      <c r="E139" s="1" t="s">
        <v>77</v>
      </c>
      <c r="F139" s="1" t="b">
        <f t="shared" si="8"/>
        <v>0</v>
      </c>
    </row>
    <row r="140" spans="1:6" x14ac:dyDescent="0.3">
      <c r="A140" s="1">
        <v>209</v>
      </c>
      <c r="B140" s="9" t="s">
        <v>156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80</v>
      </c>
      <c r="E140" s="1" t="s">
        <v>79</v>
      </c>
      <c r="F140" s="1" t="b">
        <f t="shared" si="8"/>
        <v>0</v>
      </c>
    </row>
    <row r="141" spans="1:6" x14ac:dyDescent="0.3">
      <c r="A141" s="1">
        <v>210</v>
      </c>
      <c r="B141" s="9" t="s">
        <v>389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80</v>
      </c>
      <c r="E141" s="1" t="s">
        <v>81</v>
      </c>
      <c r="F141" s="1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9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129</v>
      </c>
      <c r="J2" s="4">
        <f>I2/H2</f>
        <v>0.61428571428571432</v>
      </c>
    </row>
    <row r="3" spans="1:11" x14ac:dyDescent="0.3">
      <c r="A3" s="1">
        <v>212</v>
      </c>
      <c r="B3" s="9" t="s">
        <v>106</v>
      </c>
      <c r="C3" s="1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" t="b">
        <f t="shared" ref="F3:F66" si="0">IF(D3=E3, TRUE, FALSE)</f>
        <v>1</v>
      </c>
    </row>
    <row r="4" spans="1:11" x14ac:dyDescent="0.3">
      <c r="A4" s="1">
        <v>213</v>
      </c>
      <c r="B4" s="9" t="s">
        <v>156</v>
      </c>
      <c r="C4" s="1" t="str" cm="1">
        <f t="array" ref="C4">_xlfn.IFS(LEN(B4) &lt;= 25, "Short", AND(LEN(B4) &gt; 25, LEN(B4) &lt;= 50), "Medium", LEN(B4) &gt; 50, "Long")</f>
        <v>Short</v>
      </c>
      <c r="D4" t="s">
        <v>80</v>
      </c>
      <c r="E4" s="1" t="s">
        <v>79</v>
      </c>
      <c r="F4" s="1" t="b">
        <f t="shared" si="0"/>
        <v>0</v>
      </c>
      <c r="H4" s="10" t="s">
        <v>237</v>
      </c>
      <c r="I4" s="10"/>
      <c r="J4" s="10"/>
      <c r="K4" s="10"/>
    </row>
    <row r="5" spans="1:11" x14ac:dyDescent="0.3">
      <c r="A5" s="1">
        <v>214</v>
      </c>
      <c r="B5" s="9" t="s">
        <v>390</v>
      </c>
      <c r="C5" s="1" t="str" cm="1">
        <f t="array" ref="C5">_xlfn.IFS(LEN(B5) &lt;= 25, "Short", AND(LEN(B5) &gt; 25, LEN(B5) &lt;= 50), "Medium", LEN(B5) &gt; 50, "Long")</f>
        <v>Short</v>
      </c>
      <c r="D5" t="s">
        <v>80</v>
      </c>
      <c r="E5" s="1" t="s">
        <v>80</v>
      </c>
      <c r="F5" s="1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9" t="s">
        <v>391</v>
      </c>
      <c r="C6" s="1" t="str" cm="1">
        <f t="array" ref="C6">_xlfn.IFS(LEN(B6) &lt;= 25, "Short", AND(LEN(B6) &gt; 25, LEN(B6) &lt;= 50), "Medium", LEN(B6) &gt; 50, "Long")</f>
        <v>Short</v>
      </c>
      <c r="D6" t="s">
        <v>82</v>
      </c>
      <c r="E6" s="1" t="s">
        <v>82</v>
      </c>
      <c r="F6" s="1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21</v>
      </c>
      <c r="K6" s="3">
        <f>J6/I6</f>
        <v>0.7</v>
      </c>
    </row>
    <row r="7" spans="1:11" x14ac:dyDescent="0.3">
      <c r="A7" s="1">
        <v>216</v>
      </c>
      <c r="B7" s="9" t="s">
        <v>296</v>
      </c>
      <c r="C7" s="1" t="str" cm="1">
        <f t="array" ref="C7">_xlfn.IFS(LEN(B7) &lt;= 25, "Short", AND(LEN(B7) &gt; 25, LEN(B7) &lt;= 50), "Medium", LEN(B7) &gt; 50, "Long")</f>
        <v>Short</v>
      </c>
      <c r="D7" t="s">
        <v>77</v>
      </c>
      <c r="E7" s="1" t="s">
        <v>79</v>
      </c>
      <c r="F7" s="1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19</v>
      </c>
      <c r="K7" s="3">
        <f t="shared" ref="K7:K12" si="3">J7/I7</f>
        <v>0.6333333333333333</v>
      </c>
    </row>
    <row r="8" spans="1:11" x14ac:dyDescent="0.3">
      <c r="A8" s="1">
        <v>217</v>
      </c>
      <c r="B8" s="9" t="s">
        <v>64</v>
      </c>
      <c r="C8" s="1" t="str" cm="1">
        <f t="array" ref="C8">_xlfn.IFS(LEN(B8) &lt;= 25, "Short", AND(LEN(B8) &gt; 25, LEN(B8) &lt;= 50), "Medium", LEN(B8) &gt; 50, "Long")</f>
        <v>Short</v>
      </c>
      <c r="D8" t="s">
        <v>252</v>
      </c>
      <c r="E8" s="1" t="s">
        <v>252</v>
      </c>
      <c r="F8" s="1" t="b">
        <f t="shared" si="0"/>
        <v>1</v>
      </c>
      <c r="H8" s="1" t="s">
        <v>79</v>
      </c>
      <c r="I8" s="1">
        <f t="shared" si="1"/>
        <v>30</v>
      </c>
      <c r="J8" s="1">
        <f t="shared" si="2"/>
        <v>20</v>
      </c>
      <c r="K8" s="3">
        <f t="shared" si="3"/>
        <v>0.66666666666666663</v>
      </c>
    </row>
    <row r="9" spans="1:11" x14ac:dyDescent="0.3">
      <c r="A9" s="1">
        <v>218</v>
      </c>
      <c r="B9" s="9" t="s">
        <v>392</v>
      </c>
      <c r="C9" s="1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" t="b">
        <f t="shared" si="0"/>
        <v>1</v>
      </c>
      <c r="H9" s="1" t="s">
        <v>77</v>
      </c>
      <c r="I9" s="1">
        <f t="shared" si="1"/>
        <v>30</v>
      </c>
      <c r="J9" s="1">
        <f t="shared" si="2"/>
        <v>15</v>
      </c>
      <c r="K9" s="3">
        <f t="shared" si="3"/>
        <v>0.5</v>
      </c>
    </row>
    <row r="10" spans="1:11" x14ac:dyDescent="0.3">
      <c r="A10" s="1">
        <v>219</v>
      </c>
      <c r="B10" s="9" t="s">
        <v>393</v>
      </c>
      <c r="C10" s="1" t="str" cm="1">
        <f t="array" ref="C10">_xlfn.IFS(LEN(B10) &lt;= 25, "Short", AND(LEN(B10) &gt; 25, LEN(B10) &lt;= 50), "Medium", LEN(B10) &gt; 50, "Long")</f>
        <v>Short</v>
      </c>
      <c r="D10" t="s">
        <v>79</v>
      </c>
      <c r="E10" s="1" t="s">
        <v>79</v>
      </c>
      <c r="F10" s="1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6</v>
      </c>
      <c r="K10" s="3">
        <f t="shared" si="3"/>
        <v>0.2</v>
      </c>
    </row>
    <row r="11" spans="1:11" x14ac:dyDescent="0.3">
      <c r="A11" s="1">
        <v>220</v>
      </c>
      <c r="B11" s="9" t="s">
        <v>251</v>
      </c>
      <c r="C11" s="1" t="str" cm="1">
        <f t="array" ref="C11">_xlfn.IFS(LEN(B11) &lt;= 25, "Short", AND(LEN(B11) &gt; 25, LEN(B11) &lt;= 50), "Medium", LEN(B11) &gt; 50, "Long")</f>
        <v>Short</v>
      </c>
      <c r="D11" t="s">
        <v>80</v>
      </c>
      <c r="E11" s="1" t="s">
        <v>80</v>
      </c>
      <c r="F11" s="1" t="b">
        <f t="shared" si="0"/>
        <v>1</v>
      </c>
      <c r="H11" s="1" t="s">
        <v>80</v>
      </c>
      <c r="I11" s="1">
        <f t="shared" si="1"/>
        <v>30</v>
      </c>
      <c r="J11" s="1">
        <f t="shared" si="2"/>
        <v>19</v>
      </c>
      <c r="K11" s="3">
        <f t="shared" si="3"/>
        <v>0.6333333333333333</v>
      </c>
    </row>
    <row r="12" spans="1:11" x14ac:dyDescent="0.3">
      <c r="A12" s="1">
        <v>221</v>
      </c>
      <c r="B12" s="9" t="s">
        <v>394</v>
      </c>
      <c r="C12" s="1" t="str" cm="1">
        <f t="array" ref="C12">_xlfn.IFS(LEN(B12) &lt;= 25, "Short", AND(LEN(B12) &gt; 25, LEN(B12) &lt;= 50), "Medium", LEN(B12) &gt; 50, "Long")</f>
        <v>Short</v>
      </c>
      <c r="D12" t="s">
        <v>252</v>
      </c>
      <c r="E12" s="1" t="s">
        <v>252</v>
      </c>
      <c r="F12" s="1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9" t="s">
        <v>395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1" t="s">
        <v>82</v>
      </c>
      <c r="F13" s="1" t="b">
        <f t="shared" si="0"/>
        <v>0</v>
      </c>
    </row>
    <row r="14" spans="1:11" x14ac:dyDescent="0.3">
      <c r="A14" s="1">
        <v>223</v>
      </c>
      <c r="B14" s="9" t="s">
        <v>161</v>
      </c>
      <c r="C14" s="1" t="str" cm="1">
        <f t="array" ref="C14">_xlfn.IFS(LEN(B14) &lt;= 25, "Short", AND(LEN(B14) &gt; 25, LEN(B14) &lt;= 50), "Medium", LEN(B14) &gt; 50, "Long")</f>
        <v>Medium</v>
      </c>
      <c r="D14" t="s">
        <v>79</v>
      </c>
      <c r="E14" s="1" t="s">
        <v>79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224</v>
      </c>
      <c r="B15" s="9" t="s">
        <v>396</v>
      </c>
      <c r="C15" s="1" t="str" cm="1">
        <f t="array" ref="C15">_xlfn.IFS(LEN(B15) &lt;= 25, "Short", AND(LEN(B15) &gt; 25, LEN(B15) &lt;= 50), "Medium", LEN(B15) &gt; 50, "Long")</f>
        <v>Short</v>
      </c>
      <c r="D15" t="s">
        <v>79</v>
      </c>
      <c r="E15" s="1" t="s">
        <v>79</v>
      </c>
      <c r="F15" s="1" t="b">
        <f t="shared" si="0"/>
        <v>1</v>
      </c>
      <c r="H15" s="1" t="s">
        <v>258</v>
      </c>
      <c r="I15" s="1">
        <f>COUNTIF(C2:C211, H15)</f>
        <v>96</v>
      </c>
      <c r="J15" s="1">
        <f>COUNTIFS(C2:C211, H15, F2:F211, TRUE)</f>
        <v>60</v>
      </c>
      <c r="K15" s="4">
        <f>J15/I15</f>
        <v>0.625</v>
      </c>
    </row>
    <row r="16" spans="1:11" x14ac:dyDescent="0.3">
      <c r="A16" s="1">
        <v>225</v>
      </c>
      <c r="B16" s="9" t="s">
        <v>397</v>
      </c>
      <c r="C16" s="1" t="str" cm="1">
        <f t="array" ref="C16">_xlfn.IFS(LEN(B16) &lt;= 25, "Short", AND(LEN(B16) &gt; 25, LEN(B16) &lt;= 50), "Medium", LEN(B16) &gt; 50, "Long")</f>
        <v>Medium</v>
      </c>
      <c r="D16" t="s">
        <v>81</v>
      </c>
      <c r="E16" s="1" t="s">
        <v>81</v>
      </c>
      <c r="F16" s="1" t="b">
        <f t="shared" si="0"/>
        <v>1</v>
      </c>
      <c r="H16" s="1" t="s">
        <v>257</v>
      </c>
      <c r="I16" s="1">
        <f>COUNTIFS(C2:C211, H16)</f>
        <v>96</v>
      </c>
      <c r="J16" s="1">
        <f>COUNTIFS(C2:C211, H16, F2:F211, TRUE)</f>
        <v>62</v>
      </c>
      <c r="K16" s="4">
        <f t="shared" ref="K16:K17" si="4">J16/I16</f>
        <v>0.64583333333333337</v>
      </c>
    </row>
    <row r="17" spans="1:11" x14ac:dyDescent="0.3">
      <c r="A17" s="1">
        <v>226</v>
      </c>
      <c r="B17" s="9" t="s">
        <v>125</v>
      </c>
      <c r="C17" s="1" t="str" cm="1">
        <f t="array" ref="C17">_xlfn.IFS(LEN(B17) &lt;= 25, "Short", AND(LEN(B17) &gt; 25, LEN(B17) &lt;= 50), "Medium", LEN(B17) &gt; 50, "Long")</f>
        <v>Short</v>
      </c>
      <c r="D17" t="s">
        <v>80</v>
      </c>
      <c r="E17" s="1" t="s">
        <v>80</v>
      </c>
      <c r="F17" s="1" t="b">
        <f t="shared" si="0"/>
        <v>1</v>
      </c>
      <c r="H17" s="1" t="s">
        <v>256</v>
      </c>
      <c r="I17" s="1">
        <f>COUNTIF(C2:C211, H17)</f>
        <v>18</v>
      </c>
      <c r="J17" s="1">
        <f>COUNTIFS(C2:C211, H17, F2:F211, TRUE)</f>
        <v>7</v>
      </c>
      <c r="K17" s="4">
        <f t="shared" si="4"/>
        <v>0.3888888888888889</v>
      </c>
    </row>
    <row r="18" spans="1:11" x14ac:dyDescent="0.3">
      <c r="A18" s="1">
        <v>227</v>
      </c>
      <c r="B18" s="9" t="s">
        <v>398</v>
      </c>
      <c r="C18" s="1" t="str" cm="1">
        <f t="array" ref="C18">_xlfn.IFS(LEN(B18) &lt;= 25, "Short", AND(LEN(B18) &gt; 25, LEN(B18) &lt;= 50), "Medium", LEN(B18) &gt; 50, "Long")</f>
        <v>Long</v>
      </c>
      <c r="D18" t="s">
        <v>76</v>
      </c>
      <c r="E18" s="1" t="s">
        <v>80</v>
      </c>
      <c r="F18" s="1" t="b">
        <f t="shared" si="0"/>
        <v>0</v>
      </c>
    </row>
    <row r="19" spans="1:11" x14ac:dyDescent="0.3">
      <c r="A19" s="1">
        <v>228</v>
      </c>
      <c r="B19" s="9" t="s">
        <v>399</v>
      </c>
      <c r="C19" s="1" t="str" cm="1">
        <f t="array" ref="C19">_xlfn.IFS(LEN(B19) &lt;= 25, "Short", AND(LEN(B19) &gt; 25, LEN(B19) &lt;= 50), "Medium", LEN(B19) &gt; 50, "Long")</f>
        <v>Long</v>
      </c>
      <c r="D19" t="s">
        <v>77</v>
      </c>
      <c r="E19" s="1" t="s">
        <v>82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229</v>
      </c>
      <c r="B20" s="9" t="s">
        <v>400</v>
      </c>
      <c r="C20" s="1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230</v>
      </c>
      <c r="B21" s="9" t="s">
        <v>286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1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1</v>
      </c>
      <c r="K21" s="6">
        <f>J21/I11</f>
        <v>3.3333333333333333E-2</v>
      </c>
    </row>
    <row r="22" spans="1:11" x14ac:dyDescent="0.3">
      <c r="A22" s="1">
        <v>231</v>
      </c>
      <c r="B22" s="9" t="s">
        <v>338</v>
      </c>
      <c r="C22" s="1" t="str" cm="1">
        <f t="array" ref="C22">_xlfn.IFS(LEN(B22) &lt;= 25, "Short", AND(LEN(B22) &gt; 25, LEN(B22) &lt;= 50), "Medium", LEN(B22) &gt; 50, "Long")</f>
        <v>Medium</v>
      </c>
      <c r="D22" t="s">
        <v>77</v>
      </c>
      <c r="E22" s="1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232</v>
      </c>
      <c r="B23" s="9" t="s">
        <v>401</v>
      </c>
      <c r="C23" s="1" t="str" cm="1">
        <f t="array" ref="C23">_xlfn.IFS(LEN(B23) &lt;= 25, "Short", AND(LEN(B23) &gt; 25, LEN(B23) &lt;= 50), "Medium", LEN(B23) &gt; 50, "Long")</f>
        <v>Medium</v>
      </c>
      <c r="D23" t="s">
        <v>79</v>
      </c>
      <c r="E23" s="1" t="s">
        <v>80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3</v>
      </c>
      <c r="K23" s="6">
        <f>J23/I9</f>
        <v>0.1</v>
      </c>
    </row>
    <row r="24" spans="1:11" x14ac:dyDescent="0.3">
      <c r="A24" s="1">
        <v>233</v>
      </c>
      <c r="B24" s="9" t="s">
        <v>369</v>
      </c>
      <c r="C24" s="1" t="str" cm="1">
        <f t="array" ref="C24">_xlfn.IFS(LEN(B24) &lt;= 25, "Short", AND(LEN(B24) &gt; 25, LEN(B24) &lt;= 50), "Medium", LEN(B24) &gt; 50, "Long")</f>
        <v>Short</v>
      </c>
      <c r="D24" t="s">
        <v>79</v>
      </c>
      <c r="E24" s="1" t="s">
        <v>79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234</v>
      </c>
      <c r="B25" s="9" t="s">
        <v>402</v>
      </c>
      <c r="C25" s="1" t="str" cm="1">
        <f t="array" ref="C25">_xlfn.IFS(LEN(B25) &lt;= 25, "Short", AND(LEN(B25) &gt; 25, LEN(B25) &lt;= 50), "Medium", LEN(B25) &gt; 50, "Long")</f>
        <v>Medium</v>
      </c>
      <c r="D25" t="s">
        <v>77</v>
      </c>
      <c r="E25" s="1" t="s">
        <v>77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235</v>
      </c>
      <c r="B26" s="9" t="s">
        <v>96</v>
      </c>
      <c r="C26" s="1" t="str" cm="1">
        <f t="array" ref="C26">_xlfn.IFS(LEN(B26) &lt;= 25, "Short", AND(LEN(B26) &gt; 25, LEN(B26) &lt;= 50), "Medium", LEN(B26) &gt; 50, "Long")</f>
        <v>Medium</v>
      </c>
      <c r="D26" t="s">
        <v>252</v>
      </c>
      <c r="E26" s="1" t="s">
        <v>252</v>
      </c>
      <c r="F26" s="1" t="b">
        <f t="shared" si="0"/>
        <v>1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3.3333333333333333E-2</v>
      </c>
    </row>
    <row r="27" spans="1:11" x14ac:dyDescent="0.3">
      <c r="A27" s="1">
        <v>236</v>
      </c>
      <c r="B27" s="9" t="s">
        <v>403</v>
      </c>
      <c r="C27" s="1" t="str" cm="1">
        <f t="array" ref="C27">_xlfn.IFS(LEN(B27) &lt;= 25, "Short", AND(LEN(B27) &gt; 25, LEN(B27) &lt;= 50), "Medium", LEN(B27) &gt; 50, "Long")</f>
        <v>Long</v>
      </c>
      <c r="D27" t="s">
        <v>79</v>
      </c>
      <c r="E27" s="1" t="s">
        <v>252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237</v>
      </c>
      <c r="B28" s="9" t="s">
        <v>168</v>
      </c>
      <c r="C28" s="1" t="str" cm="1">
        <f t="array" ref="C28">_xlfn.IFS(LEN(B28) &lt;= 25, "Short", AND(LEN(B28) &gt; 25, LEN(B28) &lt;= 50), "Medium", LEN(B28) &gt; 50, "Long")</f>
        <v>Short</v>
      </c>
      <c r="D28" t="s">
        <v>81</v>
      </c>
      <c r="E28" s="1" t="s">
        <v>81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238</v>
      </c>
      <c r="B29" s="9" t="s">
        <v>111</v>
      </c>
      <c r="C29" s="1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239</v>
      </c>
      <c r="B30" s="9" t="s">
        <v>105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240</v>
      </c>
      <c r="B31" s="9" t="s">
        <v>169</v>
      </c>
      <c r="C31" s="1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241</v>
      </c>
      <c r="B32" s="9" t="s">
        <v>404</v>
      </c>
      <c r="C32" s="1" t="str" cm="1">
        <f t="array" ref="C32">_xlfn.IFS(LEN(B32) &lt;= 25, "Short", AND(LEN(B32) &gt; 25, LEN(B32) &lt;= 50), "Medium", LEN(B32) &gt; 50, "Long")</f>
        <v>Short</v>
      </c>
      <c r="D32" t="s">
        <v>512</v>
      </c>
      <c r="E32" s="1" t="s">
        <v>81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1</v>
      </c>
      <c r="K32" s="6">
        <f>J32/I11</f>
        <v>3.3333333333333333E-2</v>
      </c>
    </row>
    <row r="33" spans="1:6" x14ac:dyDescent="0.3">
      <c r="A33" s="1">
        <v>242</v>
      </c>
      <c r="B33" s="9" t="s">
        <v>171</v>
      </c>
      <c r="C33" s="1" t="str" cm="1">
        <f t="array" ref="C33">_xlfn.IFS(LEN(B33) &lt;= 25, "Short", AND(LEN(B33) &gt; 25, LEN(B33) &lt;= 50), "Medium", LEN(B33) &gt; 50, "Long")</f>
        <v>Medium</v>
      </c>
      <c r="D33" t="s">
        <v>81</v>
      </c>
      <c r="E33" s="1" t="s">
        <v>79</v>
      </c>
      <c r="F33" s="1" t="b">
        <f t="shared" si="0"/>
        <v>0</v>
      </c>
    </row>
    <row r="34" spans="1:6" x14ac:dyDescent="0.3">
      <c r="A34" s="1">
        <v>243</v>
      </c>
      <c r="B34" s="9" t="s">
        <v>405</v>
      </c>
      <c r="C34" s="1" t="str" cm="1">
        <f t="array" ref="C34">_xlfn.IFS(LEN(B34) &lt;= 25, "Short", AND(LEN(B34) &gt; 25, LEN(B34) &lt;= 50), "Medium", LEN(B34) &gt; 50, "Long")</f>
        <v>Medium</v>
      </c>
      <c r="D34" t="s">
        <v>79</v>
      </c>
      <c r="E34" s="1" t="s">
        <v>82</v>
      </c>
      <c r="F34" s="1" t="b">
        <f t="shared" si="0"/>
        <v>0</v>
      </c>
    </row>
    <row r="35" spans="1:6" x14ac:dyDescent="0.3">
      <c r="A35" s="1">
        <v>244</v>
      </c>
      <c r="B35" s="9" t="s">
        <v>406</v>
      </c>
      <c r="C35" s="1" t="str" cm="1">
        <f t="array" ref="C35">_xlfn.IFS(LEN(B35) &lt;= 25, "Short", AND(LEN(B35) &gt; 25, LEN(B35) &lt;= 50), "Medium", LEN(B35) &gt; 50, "Long")</f>
        <v>Medium</v>
      </c>
      <c r="D35" t="s">
        <v>79</v>
      </c>
      <c r="E35" s="1" t="s">
        <v>252</v>
      </c>
      <c r="F35" s="1" t="b">
        <f t="shared" si="0"/>
        <v>0</v>
      </c>
    </row>
    <row r="36" spans="1:6" x14ac:dyDescent="0.3">
      <c r="A36" s="1">
        <v>245</v>
      </c>
      <c r="B36" s="9" t="s">
        <v>407</v>
      </c>
      <c r="C36" s="1" t="str" cm="1">
        <f t="array" ref="C36">_xlfn.IFS(LEN(B36) &lt;= 25, "Short", AND(LEN(B36) &gt; 25, LEN(B36) &lt;= 50), "Medium", LEN(B36) &gt; 50, "Long")</f>
        <v>Short</v>
      </c>
      <c r="D36" t="s">
        <v>81</v>
      </c>
      <c r="E36" s="1" t="s">
        <v>81</v>
      </c>
      <c r="F36" s="1" t="b">
        <f t="shared" si="0"/>
        <v>1</v>
      </c>
    </row>
    <row r="37" spans="1:6" x14ac:dyDescent="0.3">
      <c r="A37" s="1">
        <v>246</v>
      </c>
      <c r="B37" s="9" t="s">
        <v>51</v>
      </c>
      <c r="C37" s="1" t="str" cm="1">
        <f t="array" ref="C37">_xlfn.IFS(LEN(B37) &lt;= 25, "Short", AND(LEN(B37) &gt; 25, LEN(B37) &lt;= 50), "Medium", LEN(B37) &gt; 50, "Long")</f>
        <v>Long</v>
      </c>
      <c r="D37" t="s">
        <v>76</v>
      </c>
      <c r="E37" s="1" t="s">
        <v>81</v>
      </c>
      <c r="F37" s="1" t="b">
        <f t="shared" si="0"/>
        <v>0</v>
      </c>
    </row>
    <row r="38" spans="1:6" x14ac:dyDescent="0.3">
      <c r="A38" s="1">
        <v>247</v>
      </c>
      <c r="B38" s="9" t="s">
        <v>408</v>
      </c>
      <c r="C38" s="1" t="str" cm="1">
        <f t="array" ref="C38">_xlfn.IFS(LEN(B38) &lt;= 25, "Short", AND(LEN(B38) &gt; 25, LEN(B38) &lt;= 50), "Medium", LEN(B38) &gt; 50, "Long")</f>
        <v>Medium</v>
      </c>
      <c r="D38" t="s">
        <v>77</v>
      </c>
      <c r="E38" s="1" t="s">
        <v>81</v>
      </c>
      <c r="F38" s="1" t="b">
        <f t="shared" si="0"/>
        <v>0</v>
      </c>
    </row>
    <row r="39" spans="1:6" x14ac:dyDescent="0.3">
      <c r="A39" s="1">
        <v>248</v>
      </c>
      <c r="B39" s="9" t="s">
        <v>173</v>
      </c>
      <c r="C39" s="1" t="str" cm="1">
        <f t="array" ref="C39">_xlfn.IFS(LEN(B39) &lt;= 25, "Short", AND(LEN(B39) &gt; 25, LEN(B39) &lt;= 50), "Medium", LEN(B39) &gt; 50, "Long")</f>
        <v>Medium</v>
      </c>
      <c r="D39" t="s">
        <v>80</v>
      </c>
      <c r="E39" s="1" t="s">
        <v>80</v>
      </c>
      <c r="F39" s="1" t="b">
        <f t="shared" si="0"/>
        <v>1</v>
      </c>
    </row>
    <row r="40" spans="1:6" x14ac:dyDescent="0.3">
      <c r="A40" s="1">
        <v>249</v>
      </c>
      <c r="B40" s="9" t="s">
        <v>409</v>
      </c>
      <c r="C40" s="1" t="str" cm="1">
        <f t="array" ref="C40">_xlfn.IFS(LEN(B40) &lt;= 25, "Short", AND(LEN(B40) &gt; 25, LEN(B40) &lt;= 50), "Medium", LEN(B40) &gt; 50, "Long")</f>
        <v>Medium</v>
      </c>
      <c r="D40" t="s">
        <v>252</v>
      </c>
      <c r="E40" s="1" t="s">
        <v>252</v>
      </c>
      <c r="F40" s="1" t="b">
        <f t="shared" si="0"/>
        <v>1</v>
      </c>
    </row>
    <row r="41" spans="1:6" x14ac:dyDescent="0.3">
      <c r="A41" s="1">
        <v>250</v>
      </c>
      <c r="B41" s="9" t="s">
        <v>410</v>
      </c>
      <c r="C41" s="1" t="str" cm="1">
        <f t="array" ref="C41">_xlfn.IFS(LEN(B41) &lt;= 25, "Short", AND(LEN(B41) &gt; 25, LEN(B41) &lt;= 50), "Medium", LEN(B41) &gt; 50, "Long")</f>
        <v>Long</v>
      </c>
      <c r="D41" t="s">
        <v>252</v>
      </c>
      <c r="E41" s="1" t="s">
        <v>252</v>
      </c>
      <c r="F41" s="1" t="b">
        <f t="shared" si="0"/>
        <v>1</v>
      </c>
    </row>
    <row r="42" spans="1:6" x14ac:dyDescent="0.3">
      <c r="A42" s="1">
        <v>251</v>
      </c>
      <c r="B42" s="9" t="s">
        <v>411</v>
      </c>
      <c r="C42" s="1" t="str" cm="1">
        <f t="array" ref="C42">_xlfn.IFS(LEN(B42) &lt;= 25, "Short", AND(LEN(B42) &gt; 25, LEN(B42) &lt;= 50), "Medium", LEN(B42) &gt; 50, "Long")</f>
        <v>Medium</v>
      </c>
      <c r="D42" t="s">
        <v>79</v>
      </c>
      <c r="E42" s="1" t="s">
        <v>79</v>
      </c>
      <c r="F42" s="1" t="b">
        <f t="shared" si="0"/>
        <v>1</v>
      </c>
    </row>
    <row r="43" spans="1:6" x14ac:dyDescent="0.3">
      <c r="A43" s="1">
        <v>252</v>
      </c>
      <c r="B43" s="9" t="s">
        <v>343</v>
      </c>
      <c r="C43" s="1" t="str" cm="1">
        <f t="array" ref="C43">_xlfn.IFS(LEN(B43) &lt;= 25, "Short", AND(LEN(B43) &gt; 25, LEN(B43) &lt;= 50), "Medium", LEN(B43) &gt; 50, "Long")</f>
        <v>Long</v>
      </c>
      <c r="D43" t="s">
        <v>79</v>
      </c>
      <c r="E43" s="1" t="s">
        <v>82</v>
      </c>
      <c r="F43" s="1" t="b">
        <f t="shared" si="0"/>
        <v>0</v>
      </c>
    </row>
    <row r="44" spans="1:6" x14ac:dyDescent="0.3">
      <c r="A44" s="1">
        <v>253</v>
      </c>
      <c r="B44" s="9" t="s">
        <v>121</v>
      </c>
      <c r="C44" s="1" t="str" cm="1">
        <f t="array" ref="C44">_xlfn.IFS(LEN(B44) &lt;= 25, "Short", AND(LEN(B44) &gt; 25, LEN(B44) &lt;= 50), "Medium", LEN(B44) &gt; 50, "Long")</f>
        <v>Short</v>
      </c>
      <c r="D44" t="s">
        <v>252</v>
      </c>
      <c r="E44" s="1" t="s">
        <v>252</v>
      </c>
      <c r="F44" s="1" t="b">
        <f t="shared" si="0"/>
        <v>1</v>
      </c>
    </row>
    <row r="45" spans="1:6" x14ac:dyDescent="0.3">
      <c r="A45" s="1">
        <v>254</v>
      </c>
      <c r="B45" s="9" t="s">
        <v>412</v>
      </c>
      <c r="C45" s="1" t="str" cm="1">
        <f t="array" ref="C45">_xlfn.IFS(LEN(B45) &lt;= 25, "Short", AND(LEN(B45) &gt; 25, LEN(B45) &lt;= 50), "Medium", LEN(B45) &gt; 50, "Long")</f>
        <v>Medium</v>
      </c>
      <c r="D45" t="s">
        <v>82</v>
      </c>
      <c r="E45" s="1" t="s">
        <v>252</v>
      </c>
      <c r="F45" s="1" t="b">
        <f t="shared" si="0"/>
        <v>0</v>
      </c>
    </row>
    <row r="46" spans="1:6" x14ac:dyDescent="0.3">
      <c r="A46" s="1">
        <v>255</v>
      </c>
      <c r="B46" s="9" t="s">
        <v>413</v>
      </c>
      <c r="C46" s="1" t="str" cm="1">
        <f t="array" ref="C46">_xlfn.IFS(LEN(B46) &lt;= 25, "Short", AND(LEN(B46) &gt; 25, LEN(B46) &lt;= 50), "Medium", LEN(B46) &gt; 50, "Long")</f>
        <v>Short</v>
      </c>
      <c r="D46" t="s">
        <v>252</v>
      </c>
      <c r="E46" s="1" t="s">
        <v>77</v>
      </c>
      <c r="F46" s="1" t="b">
        <f t="shared" si="0"/>
        <v>0</v>
      </c>
    </row>
    <row r="47" spans="1:6" x14ac:dyDescent="0.3">
      <c r="A47" s="1">
        <v>256</v>
      </c>
      <c r="B47" s="9" t="s">
        <v>414</v>
      </c>
      <c r="C47" s="1" t="str" cm="1">
        <f t="array" ref="C47">_xlfn.IFS(LEN(B47) &lt;= 25, "Short", AND(LEN(B47) &gt; 25, LEN(B47) &lt;= 50), "Medium", LEN(B47) &gt; 50, "Long")</f>
        <v>Medium</v>
      </c>
      <c r="D47" t="s">
        <v>77</v>
      </c>
      <c r="E47" s="1" t="s">
        <v>77</v>
      </c>
      <c r="F47" s="1" t="b">
        <f t="shared" si="0"/>
        <v>1</v>
      </c>
    </row>
    <row r="48" spans="1:6" x14ac:dyDescent="0.3">
      <c r="A48" s="1">
        <v>257</v>
      </c>
      <c r="B48" s="9" t="s">
        <v>415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258</v>
      </c>
      <c r="B49" s="9" t="s">
        <v>67</v>
      </c>
      <c r="C49" s="1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259</v>
      </c>
      <c r="B50" s="9" t="s">
        <v>114</v>
      </c>
      <c r="C50" s="1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" t="b">
        <f t="shared" si="0"/>
        <v>1</v>
      </c>
    </row>
    <row r="51" spans="1:6" x14ac:dyDescent="0.3">
      <c r="A51" s="1">
        <v>260</v>
      </c>
      <c r="B51" s="9" t="s">
        <v>87</v>
      </c>
      <c r="C51" s="1" t="str" cm="1">
        <f t="array" ref="C51">_xlfn.IFS(LEN(B51) &lt;= 25, "Short", AND(LEN(B51) &gt; 25, LEN(B51) &lt;= 50), "Medium", LEN(B51) &gt; 50, "Long")</f>
        <v>Medium</v>
      </c>
      <c r="D51" t="s">
        <v>79</v>
      </c>
      <c r="E51" s="1" t="s">
        <v>79</v>
      </c>
      <c r="F51" s="1" t="b">
        <f t="shared" si="0"/>
        <v>1</v>
      </c>
    </row>
    <row r="52" spans="1:6" x14ac:dyDescent="0.3">
      <c r="A52" s="1">
        <v>261</v>
      </c>
      <c r="B52" s="9" t="s">
        <v>416</v>
      </c>
      <c r="C52" s="1" t="str" cm="1">
        <f t="array" ref="C52">_xlfn.IFS(LEN(B52) &lt;= 25, "Short", AND(LEN(B52) &gt; 25, LEN(B52) &lt;= 50), "Medium", LEN(B52) &gt; 50, "Long")</f>
        <v>Medium</v>
      </c>
      <c r="D52" t="s">
        <v>80</v>
      </c>
      <c r="E52" s="1" t="s">
        <v>80</v>
      </c>
      <c r="F52" s="1" t="b">
        <f t="shared" si="0"/>
        <v>1</v>
      </c>
    </row>
    <row r="53" spans="1:6" x14ac:dyDescent="0.3">
      <c r="A53" s="1">
        <v>262</v>
      </c>
      <c r="B53" s="9" t="s">
        <v>91</v>
      </c>
      <c r="C53" s="1" t="str" cm="1">
        <f t="array" ref="C53">_xlfn.IFS(LEN(B53) &lt;= 25, "Short", AND(LEN(B53) &gt; 25, LEN(B53) &lt;= 50), "Medium", LEN(B53) &gt; 50, "Long")</f>
        <v>Long</v>
      </c>
      <c r="D53" t="s">
        <v>77</v>
      </c>
      <c r="E53" s="1" t="s">
        <v>77</v>
      </c>
      <c r="F53" s="1" t="b">
        <f t="shared" si="0"/>
        <v>1</v>
      </c>
    </row>
    <row r="54" spans="1:6" x14ac:dyDescent="0.3">
      <c r="A54" s="1">
        <v>263</v>
      </c>
      <c r="B54" s="9" t="s">
        <v>417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82</v>
      </c>
      <c r="F54" s="1" t="b">
        <f t="shared" si="0"/>
        <v>0</v>
      </c>
    </row>
    <row r="55" spans="1:6" x14ac:dyDescent="0.3">
      <c r="A55" s="1">
        <v>264</v>
      </c>
      <c r="B55" s="9" t="s">
        <v>418</v>
      </c>
      <c r="C55" s="1" t="str" cm="1">
        <f t="array" ref="C55">_xlfn.IFS(LEN(B55) &lt;= 25, "Short", AND(LEN(B55) &gt; 25, LEN(B55) &lt;= 50), "Medium", LEN(B55) &gt; 50, "Long")</f>
        <v>Long</v>
      </c>
      <c r="D55" t="s">
        <v>80</v>
      </c>
      <c r="E55" s="1" t="s">
        <v>80</v>
      </c>
      <c r="F55" s="1" t="b">
        <f t="shared" si="0"/>
        <v>1</v>
      </c>
    </row>
    <row r="56" spans="1:6" x14ac:dyDescent="0.3">
      <c r="A56" s="1">
        <v>265</v>
      </c>
      <c r="B56" s="9" t="s">
        <v>100</v>
      </c>
      <c r="C56" s="1" t="str" cm="1">
        <f t="array" ref="C56">_xlfn.IFS(LEN(B56) &lt;= 25, "Short", AND(LEN(B56) &gt; 25, LEN(B56) &lt;= 50), "Medium", LEN(B56) &gt; 50, "Long")</f>
        <v>Short</v>
      </c>
      <c r="D56" t="s">
        <v>79</v>
      </c>
      <c r="E56" s="1" t="s">
        <v>79</v>
      </c>
      <c r="F56" s="1" t="b">
        <f t="shared" si="0"/>
        <v>1</v>
      </c>
    </row>
    <row r="57" spans="1:6" x14ac:dyDescent="0.3">
      <c r="A57" s="1">
        <v>266</v>
      </c>
      <c r="B57" s="9" t="s">
        <v>419</v>
      </c>
      <c r="C57" s="1" t="str" cm="1">
        <f t="array" ref="C57">_xlfn.IFS(LEN(B57) &lt;= 25, "Short", AND(LEN(B57) &gt; 25, LEN(B57) &lt;= 50), "Medium", LEN(B57) &gt; 50, "Long")</f>
        <v>Long</v>
      </c>
      <c r="D57" t="s">
        <v>76</v>
      </c>
      <c r="E57" s="1" t="s">
        <v>82</v>
      </c>
      <c r="F57" s="1" t="b">
        <f t="shared" si="0"/>
        <v>0</v>
      </c>
    </row>
    <row r="58" spans="1:6" x14ac:dyDescent="0.3">
      <c r="A58" s="1">
        <v>267</v>
      </c>
      <c r="B58" s="9" t="s">
        <v>420</v>
      </c>
      <c r="C58" s="1" t="str" cm="1">
        <f t="array" ref="C58">_xlfn.IFS(LEN(B58) &lt;= 25, "Short", AND(LEN(B58) &gt; 25, LEN(B58) &lt;= 50), "Medium", LEN(B58) &gt; 50, "Long")</f>
        <v>Long</v>
      </c>
      <c r="D58" t="s">
        <v>81</v>
      </c>
      <c r="E58" s="1" t="s">
        <v>81</v>
      </c>
      <c r="F58" s="1" t="b">
        <f t="shared" si="0"/>
        <v>1</v>
      </c>
    </row>
    <row r="59" spans="1:6" x14ac:dyDescent="0.3">
      <c r="A59" s="1">
        <v>268</v>
      </c>
      <c r="B59" s="9" t="s">
        <v>35</v>
      </c>
      <c r="C59" s="1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" t="b">
        <f t="shared" si="0"/>
        <v>1</v>
      </c>
    </row>
    <row r="60" spans="1:6" x14ac:dyDescent="0.3">
      <c r="A60" s="1">
        <v>269</v>
      </c>
      <c r="B60" s="9" t="s">
        <v>421</v>
      </c>
      <c r="C60" s="1" t="str" cm="1">
        <f t="array" ref="C60">_xlfn.IFS(LEN(B60) &lt;= 25, "Short", AND(LEN(B60) &gt; 25, LEN(B60) &lt;= 50), "Medium", LEN(B60) &gt; 50, "Long")</f>
        <v>Medium</v>
      </c>
      <c r="D60" t="s">
        <v>82</v>
      </c>
      <c r="E60" s="1" t="s">
        <v>82</v>
      </c>
      <c r="F60" s="1" t="b">
        <f t="shared" si="0"/>
        <v>1</v>
      </c>
    </row>
    <row r="61" spans="1:6" x14ac:dyDescent="0.3">
      <c r="A61" s="1">
        <v>270</v>
      </c>
      <c r="B61" s="9" t="s">
        <v>422</v>
      </c>
      <c r="C61" s="1" t="str" cm="1">
        <f t="array" ref="C61">_xlfn.IFS(LEN(B61) &lt;= 25, "Short", AND(LEN(B61) &gt; 25, LEN(B61) &lt;= 50), "Medium", LEN(B61) &gt; 50, "Long")</f>
        <v>Long</v>
      </c>
      <c r="D61" t="s">
        <v>252</v>
      </c>
      <c r="E61" s="1" t="s">
        <v>81</v>
      </c>
      <c r="F61" s="1" t="b">
        <f t="shared" si="0"/>
        <v>0</v>
      </c>
    </row>
    <row r="62" spans="1:6" x14ac:dyDescent="0.3">
      <c r="A62" s="1">
        <v>271</v>
      </c>
      <c r="B62" s="9" t="s">
        <v>389</v>
      </c>
      <c r="C62" s="1" t="str" cm="1">
        <f t="array" ref="C62">_xlfn.IFS(LEN(B62) &lt;= 25, "Short", AND(LEN(B62) &gt; 25, LEN(B62) &lt;= 50), "Medium", LEN(B62) &gt; 50, "Long")</f>
        <v>Short</v>
      </c>
      <c r="D62" t="s">
        <v>77</v>
      </c>
      <c r="E62" s="1" t="s">
        <v>81</v>
      </c>
      <c r="F62" s="1" t="b">
        <f t="shared" si="0"/>
        <v>0</v>
      </c>
    </row>
    <row r="63" spans="1:6" x14ac:dyDescent="0.3">
      <c r="A63" s="1">
        <v>272</v>
      </c>
      <c r="B63" s="9" t="s">
        <v>130</v>
      </c>
      <c r="C63" s="1" t="str" cm="1">
        <f t="array" ref="C63">_xlfn.IFS(LEN(B63) &lt;= 25, "Short", AND(LEN(B63) &gt; 25, LEN(B63) &lt;= 50), "Medium", LEN(B63) &gt; 50, "Long")</f>
        <v>Short</v>
      </c>
      <c r="D63" t="s">
        <v>80</v>
      </c>
      <c r="E63" s="1" t="s">
        <v>80</v>
      </c>
      <c r="F63" s="1" t="b">
        <f t="shared" si="0"/>
        <v>1</v>
      </c>
    </row>
    <row r="64" spans="1:6" x14ac:dyDescent="0.3">
      <c r="A64" s="1">
        <v>273</v>
      </c>
      <c r="B64" s="9" t="s">
        <v>423</v>
      </c>
      <c r="C64" s="1" t="str" cm="1">
        <f t="array" ref="C64">_xlfn.IFS(LEN(B64) &lt;= 25, "Short", AND(LEN(B64) &gt; 25, LEN(B64) &lt;= 50), "Medium", LEN(B64) &gt; 50, "Long")</f>
        <v>Short</v>
      </c>
      <c r="D64" t="s">
        <v>80</v>
      </c>
      <c r="E64" s="1" t="s">
        <v>77</v>
      </c>
      <c r="F64" s="1" t="b">
        <f t="shared" si="0"/>
        <v>0</v>
      </c>
    </row>
    <row r="65" spans="1:6" x14ac:dyDescent="0.3">
      <c r="A65" s="1">
        <v>274</v>
      </c>
      <c r="B65" s="9" t="s">
        <v>424</v>
      </c>
      <c r="C65" s="1" t="str" cm="1">
        <f t="array" ref="C65">_xlfn.IFS(LEN(B65) &lt;= 25, "Short", AND(LEN(B65) &gt; 25, LEN(B65) &lt;= 50), "Medium", LEN(B65) &gt; 50, "Long")</f>
        <v>Short</v>
      </c>
      <c r="D65" t="s">
        <v>77</v>
      </c>
      <c r="E65" s="1" t="s">
        <v>80</v>
      </c>
      <c r="F65" s="1" t="b">
        <f t="shared" si="0"/>
        <v>0</v>
      </c>
    </row>
    <row r="66" spans="1:6" x14ac:dyDescent="0.3">
      <c r="A66" s="1">
        <v>275</v>
      </c>
      <c r="B66" s="9" t="s">
        <v>425</v>
      </c>
      <c r="C66" s="1" t="str" cm="1">
        <f t="array" ref="C66">_xlfn.IFS(LEN(B66) &lt;= 25, "Short", AND(LEN(B66) &gt; 25, LEN(B66) &lt;= 50), "Medium", LEN(B66) &gt; 50, "Long")</f>
        <v>Short</v>
      </c>
      <c r="D66" t="s">
        <v>80</v>
      </c>
      <c r="E66" s="1" t="s">
        <v>77</v>
      </c>
      <c r="F66" s="1" t="b">
        <f t="shared" si="0"/>
        <v>0</v>
      </c>
    </row>
    <row r="67" spans="1:6" x14ac:dyDescent="0.3">
      <c r="A67" s="1">
        <v>276</v>
      </c>
      <c r="B67" s="9" t="s">
        <v>426</v>
      </c>
      <c r="C67" s="1" t="str" cm="1">
        <f t="array" ref="C67">_xlfn.IFS(LEN(B67) &lt;= 25, "Short", AND(LEN(B67) &gt; 25, LEN(B67) &lt;= 50), "Medium", LEN(B67) &gt; 50, "Long")</f>
        <v>Medium</v>
      </c>
      <c r="D67" t="s">
        <v>77</v>
      </c>
      <c r="E67" s="1" t="s">
        <v>77</v>
      </c>
      <c r="F67" s="1" t="b">
        <f t="shared" ref="F67:F130" si="7">IF(D67=E67, TRUE, FALSE)</f>
        <v>1</v>
      </c>
    </row>
    <row r="68" spans="1:6" x14ac:dyDescent="0.3">
      <c r="A68" s="1">
        <v>277</v>
      </c>
      <c r="B68" s="9" t="s">
        <v>427</v>
      </c>
      <c r="C68" s="1" t="str" cm="1">
        <f t="array" ref="C68">_xlfn.IFS(LEN(B68) &lt;= 25, "Short", AND(LEN(B68) &gt; 25, LEN(B68) &lt;= 50), "Medium", LEN(B68) &gt; 50, "Long")</f>
        <v>Short</v>
      </c>
      <c r="D68" t="s">
        <v>77</v>
      </c>
      <c r="E68" s="1" t="s">
        <v>81</v>
      </c>
      <c r="F68" s="1" t="b">
        <f t="shared" si="7"/>
        <v>0</v>
      </c>
    </row>
    <row r="69" spans="1:6" x14ac:dyDescent="0.3">
      <c r="A69" s="1">
        <v>278</v>
      </c>
      <c r="B69" s="9" t="s">
        <v>52</v>
      </c>
      <c r="C69" s="1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" t="b">
        <f t="shared" si="7"/>
        <v>1</v>
      </c>
    </row>
    <row r="70" spans="1:6" x14ac:dyDescent="0.3">
      <c r="A70" s="1">
        <v>279</v>
      </c>
      <c r="B70" s="9" t="s">
        <v>428</v>
      </c>
      <c r="C70" s="1" t="str" cm="1">
        <f t="array" ref="C70">_xlfn.IFS(LEN(B70) &lt;= 25, "Short", AND(LEN(B70) &gt; 25, LEN(B70) &lt;= 50), "Medium", LEN(B70) &gt; 50, "Long")</f>
        <v>Medium</v>
      </c>
      <c r="D70" t="s">
        <v>252</v>
      </c>
      <c r="E70" s="1" t="s">
        <v>252</v>
      </c>
      <c r="F70" s="1" t="b">
        <f t="shared" si="7"/>
        <v>1</v>
      </c>
    </row>
    <row r="71" spans="1:6" x14ac:dyDescent="0.3">
      <c r="A71" s="1">
        <v>280</v>
      </c>
      <c r="B71" s="9" t="s">
        <v>429</v>
      </c>
      <c r="C71" s="1" t="str" cm="1">
        <f t="array" ref="C71">_xlfn.IFS(LEN(B71) &lt;= 25, "Short", AND(LEN(B71) &gt; 25, LEN(B71) &lt;= 50), "Medium", LEN(B71) &gt; 50, "Long")</f>
        <v>Medium</v>
      </c>
      <c r="D71" t="s">
        <v>80</v>
      </c>
      <c r="E71" s="1" t="s">
        <v>77</v>
      </c>
      <c r="F71" s="1" t="b">
        <f t="shared" si="7"/>
        <v>0</v>
      </c>
    </row>
    <row r="72" spans="1:6" x14ac:dyDescent="0.3">
      <c r="A72" s="1">
        <v>281</v>
      </c>
      <c r="B72" s="9" t="s">
        <v>430</v>
      </c>
      <c r="C72" s="1" t="str" cm="1">
        <f t="array" ref="C72">_xlfn.IFS(LEN(B72) &lt;= 25, "Short", AND(LEN(B72) &gt; 25, LEN(B72) &lt;= 50), "Medium", LEN(B72) &gt; 50, "Long")</f>
        <v>Medium</v>
      </c>
      <c r="D72" t="s">
        <v>79</v>
      </c>
      <c r="E72" s="1" t="s">
        <v>82</v>
      </c>
      <c r="F72" s="1" t="b">
        <f t="shared" si="7"/>
        <v>0</v>
      </c>
    </row>
    <row r="73" spans="1:6" x14ac:dyDescent="0.3">
      <c r="A73" s="1">
        <v>282</v>
      </c>
      <c r="B73" s="9" t="s">
        <v>151</v>
      </c>
      <c r="C73" s="1" t="str" cm="1">
        <f t="array" ref="C73">_xlfn.IFS(LEN(B73) &lt;= 25, "Short", AND(LEN(B73) &gt; 25, LEN(B73) &lt;= 50), "Medium", LEN(B73) &gt; 50, "Long")</f>
        <v>Medium</v>
      </c>
      <c r="D73" t="s">
        <v>252</v>
      </c>
      <c r="E73" s="1" t="s">
        <v>252</v>
      </c>
      <c r="F73" s="1" t="b">
        <f t="shared" si="7"/>
        <v>1</v>
      </c>
    </row>
    <row r="74" spans="1:6" x14ac:dyDescent="0.3">
      <c r="A74" s="1">
        <v>283</v>
      </c>
      <c r="B74" s="9" t="s">
        <v>183</v>
      </c>
      <c r="C74" s="1" t="str" cm="1">
        <f t="array" ref="C74">_xlfn.IFS(LEN(B74) &lt;= 25, "Short", AND(LEN(B74) &gt; 25, LEN(B74) &lt;= 50), "Medium", LEN(B74) &gt; 50, "Long")</f>
        <v>Medium</v>
      </c>
      <c r="D74" t="s">
        <v>79</v>
      </c>
      <c r="E74" s="1" t="s">
        <v>79</v>
      </c>
      <c r="F74" s="1" t="b">
        <f t="shared" si="7"/>
        <v>1</v>
      </c>
    </row>
    <row r="75" spans="1:6" x14ac:dyDescent="0.3">
      <c r="A75" s="1">
        <v>284</v>
      </c>
      <c r="B75" s="9" t="s">
        <v>431</v>
      </c>
      <c r="C75" s="1" t="str" cm="1">
        <f t="array" ref="C75">_xlfn.IFS(LEN(B75) &lt;= 25, "Short", AND(LEN(B75) &gt; 25, LEN(B75) &lt;= 50), "Medium", LEN(B75) &gt; 50, "Long")</f>
        <v>Short</v>
      </c>
      <c r="D75" t="s">
        <v>80</v>
      </c>
      <c r="E75" s="1" t="s">
        <v>79</v>
      </c>
      <c r="F75" s="1" t="b">
        <f t="shared" si="7"/>
        <v>0</v>
      </c>
    </row>
    <row r="76" spans="1:6" x14ac:dyDescent="0.3">
      <c r="A76" s="1">
        <v>285</v>
      </c>
      <c r="B76" s="9" t="s">
        <v>432</v>
      </c>
      <c r="C76" s="1" t="str" cm="1">
        <f t="array" ref="C76">_xlfn.IFS(LEN(B76) &lt;= 25, "Short", AND(LEN(B76) &gt; 25, LEN(B76) &lt;= 50), "Medium", LEN(B76) &gt; 50, "Long")</f>
        <v>Short</v>
      </c>
      <c r="D76" t="s">
        <v>77</v>
      </c>
      <c r="E76" s="1" t="s">
        <v>77</v>
      </c>
      <c r="F76" s="1" t="b">
        <f t="shared" si="7"/>
        <v>1</v>
      </c>
    </row>
    <row r="77" spans="1:6" x14ac:dyDescent="0.3">
      <c r="A77" s="1">
        <v>286</v>
      </c>
      <c r="B77" s="9" t="s">
        <v>124</v>
      </c>
      <c r="C77" s="1" t="str" cm="1">
        <f t="array" ref="C77">_xlfn.IFS(LEN(B77) &lt;= 25, "Short", AND(LEN(B77) &gt; 25, LEN(B77) &lt;= 50), "Medium", LEN(B77) &gt; 50, "Long")</f>
        <v>Medium</v>
      </c>
      <c r="D77" t="s">
        <v>79</v>
      </c>
      <c r="E77" s="1" t="s">
        <v>79</v>
      </c>
      <c r="F77" s="1" t="b">
        <f t="shared" si="7"/>
        <v>1</v>
      </c>
    </row>
    <row r="78" spans="1:6" x14ac:dyDescent="0.3">
      <c r="A78" s="1">
        <v>287</v>
      </c>
      <c r="B78" s="9" t="s">
        <v>21</v>
      </c>
      <c r="C78" s="1" t="str" cm="1">
        <f t="array" ref="C78">_xlfn.IFS(LEN(B78) &lt;= 25, "Short", AND(LEN(B78) &gt; 25, LEN(B78) &lt;= 50), "Medium", LEN(B78) &gt; 50, "Long")</f>
        <v>Medium</v>
      </c>
      <c r="D78" t="s">
        <v>252</v>
      </c>
      <c r="E78" s="1" t="s">
        <v>252</v>
      </c>
      <c r="F78" s="1" t="b">
        <f t="shared" si="7"/>
        <v>1</v>
      </c>
    </row>
    <row r="79" spans="1:6" x14ac:dyDescent="0.3">
      <c r="A79" s="1">
        <v>288</v>
      </c>
      <c r="B79" s="9" t="s">
        <v>433</v>
      </c>
      <c r="C79" s="1" t="str" cm="1">
        <f t="array" ref="C79">_xlfn.IFS(LEN(B79) &lt;= 25, "Short", AND(LEN(B79) &gt; 25, LEN(B79) &lt;= 50), "Medium", LEN(B79) &gt; 50, "Long")</f>
        <v>Short</v>
      </c>
      <c r="D79" t="s">
        <v>82</v>
      </c>
      <c r="E79" s="1" t="s">
        <v>82</v>
      </c>
      <c r="F79" s="1" t="b">
        <f t="shared" si="7"/>
        <v>1</v>
      </c>
    </row>
    <row r="80" spans="1:6" x14ac:dyDescent="0.3">
      <c r="A80" s="1">
        <v>289</v>
      </c>
      <c r="B80" s="9" t="s">
        <v>434</v>
      </c>
      <c r="C80" s="1" t="str" cm="1">
        <f t="array" ref="C80">_xlfn.IFS(LEN(B80) &lt;= 25, "Short", AND(LEN(B80) &gt; 25, LEN(B80) &lt;= 50), "Medium", LEN(B80) &gt; 50, "Long")</f>
        <v>Medium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290</v>
      </c>
      <c r="B81" s="9" t="s">
        <v>435</v>
      </c>
      <c r="C81" s="1" t="str" cm="1">
        <f t="array" ref="C81">_xlfn.IFS(LEN(B81) &lt;= 25, "Short", AND(LEN(B81) &gt; 25, LEN(B81) &lt;= 50), "Medium", LEN(B81) &gt; 50, "Long")</f>
        <v>Short</v>
      </c>
      <c r="D81" t="s">
        <v>77</v>
      </c>
      <c r="E81" s="1" t="s">
        <v>77</v>
      </c>
      <c r="F81" s="1" t="b">
        <f t="shared" si="7"/>
        <v>1</v>
      </c>
    </row>
    <row r="82" spans="1:6" x14ac:dyDescent="0.3">
      <c r="A82" s="1">
        <v>291</v>
      </c>
      <c r="B82" s="9" t="s">
        <v>97</v>
      </c>
      <c r="C82" s="1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" t="b">
        <f t="shared" si="7"/>
        <v>1</v>
      </c>
    </row>
    <row r="83" spans="1:6" x14ac:dyDescent="0.3">
      <c r="A83" s="1">
        <v>292</v>
      </c>
      <c r="B83" s="9" t="s">
        <v>149</v>
      </c>
      <c r="C83" s="1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" t="b">
        <f t="shared" si="7"/>
        <v>1</v>
      </c>
    </row>
    <row r="84" spans="1:6" x14ac:dyDescent="0.3">
      <c r="A84" s="1">
        <v>293</v>
      </c>
      <c r="B84" s="9" t="s">
        <v>436</v>
      </c>
      <c r="C84" s="1" t="str" cm="1">
        <f t="array" ref="C84">_xlfn.IFS(LEN(B84) &lt;= 25, "Short", AND(LEN(B84) &gt; 25, LEN(B84) &lt;= 50), "Medium", LEN(B84) &gt; 50, "Long")</f>
        <v>Medium</v>
      </c>
      <c r="D84" t="s">
        <v>81</v>
      </c>
      <c r="E84" s="1" t="s">
        <v>81</v>
      </c>
      <c r="F84" s="1" t="b">
        <f t="shared" si="7"/>
        <v>1</v>
      </c>
    </row>
    <row r="85" spans="1:6" x14ac:dyDescent="0.3">
      <c r="A85" s="1">
        <v>294</v>
      </c>
      <c r="B85" s="9" t="s">
        <v>185</v>
      </c>
      <c r="C85" s="1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" t="b">
        <f t="shared" si="7"/>
        <v>1</v>
      </c>
    </row>
    <row r="86" spans="1:6" x14ac:dyDescent="0.3">
      <c r="A86" s="1">
        <v>295</v>
      </c>
      <c r="B86" s="9" t="s">
        <v>437</v>
      </c>
      <c r="C86" s="1" t="str" cm="1">
        <f t="array" ref="C86">_xlfn.IFS(LEN(B86) &lt;= 25, "Short", AND(LEN(B86) &gt; 25, LEN(B86) &lt;= 50), "Medium", LEN(B86) &gt; 50, "Long")</f>
        <v>Short</v>
      </c>
      <c r="D86" t="s">
        <v>81</v>
      </c>
      <c r="E86" s="1" t="s">
        <v>252</v>
      </c>
      <c r="F86" s="1" t="b">
        <f t="shared" si="7"/>
        <v>0</v>
      </c>
    </row>
    <row r="87" spans="1:6" x14ac:dyDescent="0.3">
      <c r="A87" s="1">
        <v>296</v>
      </c>
      <c r="B87" s="9" t="s">
        <v>438</v>
      </c>
      <c r="C87" s="1" t="str" cm="1">
        <f t="array" ref="C87">_xlfn.IFS(LEN(B87) &lt;= 25, "Short", AND(LEN(B87) &gt; 25, LEN(B87) &lt;= 50), "Medium", LEN(B87) &gt; 50, "Long")</f>
        <v>Short</v>
      </c>
      <c r="D87" t="s">
        <v>81</v>
      </c>
      <c r="E87" s="1" t="s">
        <v>79</v>
      </c>
      <c r="F87" s="1" t="b">
        <f t="shared" si="7"/>
        <v>0</v>
      </c>
    </row>
    <row r="88" spans="1:6" x14ac:dyDescent="0.3">
      <c r="A88" s="1">
        <v>297</v>
      </c>
      <c r="B88" s="9" t="s">
        <v>439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82</v>
      </c>
      <c r="F88" s="1" t="b">
        <f t="shared" si="7"/>
        <v>0</v>
      </c>
    </row>
    <row r="89" spans="1:6" x14ac:dyDescent="0.3">
      <c r="A89" s="1">
        <v>298</v>
      </c>
      <c r="B89" s="9" t="s">
        <v>440</v>
      </c>
      <c r="C89" s="1" t="str" cm="1">
        <f t="array" ref="C89">_xlfn.IFS(LEN(B89) &lt;= 25, "Short", AND(LEN(B89) &gt; 25, LEN(B89) &lt;= 50), "Medium", LEN(B89) &gt; 50, "Long")</f>
        <v>Medium</v>
      </c>
      <c r="D89" t="s">
        <v>79</v>
      </c>
      <c r="E89" s="1" t="s">
        <v>82</v>
      </c>
      <c r="F89" s="1" t="b">
        <f t="shared" si="7"/>
        <v>0</v>
      </c>
    </row>
    <row r="90" spans="1:6" x14ac:dyDescent="0.3">
      <c r="A90" s="1">
        <v>299</v>
      </c>
      <c r="B90" s="9" t="s">
        <v>441</v>
      </c>
      <c r="C90" s="1" t="str" cm="1">
        <f t="array" ref="C90">_xlfn.IFS(LEN(B90) &lt;= 25, "Short", AND(LEN(B90) &gt; 25, LEN(B90) &lt;= 50), "Medium", LEN(B90) &gt; 50, "Long")</f>
        <v>Medium</v>
      </c>
      <c r="D90" t="s">
        <v>77</v>
      </c>
      <c r="E90" s="1" t="s">
        <v>77</v>
      </c>
      <c r="F90" s="1" t="b">
        <f t="shared" si="7"/>
        <v>1</v>
      </c>
    </row>
    <row r="91" spans="1:6" x14ac:dyDescent="0.3">
      <c r="A91" s="1">
        <v>300</v>
      </c>
      <c r="B91" s="9" t="s">
        <v>442</v>
      </c>
      <c r="C91" s="1" t="str" cm="1">
        <f t="array" ref="C91">_xlfn.IFS(LEN(B91) &lt;= 25, "Short", AND(LEN(B91) &gt; 25, LEN(B91) &lt;= 50), "Medium", LEN(B91) &gt; 50, "Long")</f>
        <v>Long</v>
      </c>
      <c r="D91" t="s">
        <v>76</v>
      </c>
      <c r="E91" s="1" t="s">
        <v>82</v>
      </c>
      <c r="F91" s="1" t="b">
        <f t="shared" si="7"/>
        <v>0</v>
      </c>
    </row>
    <row r="92" spans="1:6" x14ac:dyDescent="0.3">
      <c r="A92" s="1">
        <v>301</v>
      </c>
      <c r="B92" s="9" t="s">
        <v>189</v>
      </c>
      <c r="C92" s="1" t="str" cm="1">
        <f t="array" ref="C92">_xlfn.IFS(LEN(B92) &lt;= 25, "Short", AND(LEN(B92) &gt; 25, LEN(B92) &lt;= 50), "Medium", LEN(B92) &gt; 50, "Long")</f>
        <v>Medium</v>
      </c>
      <c r="D92" t="s">
        <v>81</v>
      </c>
      <c r="E92" s="1" t="s">
        <v>82</v>
      </c>
      <c r="F92" s="1" t="b">
        <f t="shared" si="7"/>
        <v>0</v>
      </c>
    </row>
    <row r="93" spans="1:6" x14ac:dyDescent="0.3">
      <c r="A93" s="1">
        <v>302</v>
      </c>
      <c r="B93" s="9" t="s">
        <v>443</v>
      </c>
      <c r="C93" s="1" t="str" cm="1">
        <f t="array" ref="C93">_xlfn.IFS(LEN(B93) &lt;= 25, "Short", AND(LEN(B93) &gt; 25, LEN(B93) &lt;= 50), "Medium", LEN(B93) &gt; 50, "Long")</f>
        <v>Short</v>
      </c>
      <c r="D93" t="s">
        <v>82</v>
      </c>
      <c r="E93" s="1" t="s">
        <v>82</v>
      </c>
      <c r="F93" s="1" t="b">
        <f t="shared" si="7"/>
        <v>1</v>
      </c>
    </row>
    <row r="94" spans="1:6" x14ac:dyDescent="0.3">
      <c r="A94" s="1">
        <v>303</v>
      </c>
      <c r="B94" s="9" t="s">
        <v>444</v>
      </c>
      <c r="C94" s="1" t="str" cm="1">
        <f t="array" ref="C94">_xlfn.IFS(LEN(B94) &lt;= 25, "Short", AND(LEN(B94) &gt; 25, LEN(B94) &lt;= 50), "Medium", LEN(B94) &gt; 50, "Long")</f>
        <v>Medium</v>
      </c>
      <c r="D94" t="s">
        <v>252</v>
      </c>
      <c r="E94" s="1" t="s">
        <v>252</v>
      </c>
      <c r="F94" s="1" t="b">
        <f t="shared" si="7"/>
        <v>1</v>
      </c>
    </row>
    <row r="95" spans="1:6" x14ac:dyDescent="0.3">
      <c r="A95" s="1">
        <v>304</v>
      </c>
      <c r="B95" s="9" t="s">
        <v>308</v>
      </c>
      <c r="C95" s="1" t="str" cm="1">
        <f t="array" ref="C95">_xlfn.IFS(LEN(B95) &lt;= 25, "Short", AND(LEN(B95) &gt; 25, LEN(B95) &lt;= 50), "Medium", LEN(B95) &gt; 50, "Long")</f>
        <v>Short</v>
      </c>
      <c r="D95" t="s">
        <v>80</v>
      </c>
      <c r="E95" s="1" t="s">
        <v>80</v>
      </c>
      <c r="F95" s="1" t="b">
        <f t="shared" si="7"/>
        <v>1</v>
      </c>
    </row>
    <row r="96" spans="1:6" x14ac:dyDescent="0.3">
      <c r="A96" s="1">
        <v>305</v>
      </c>
      <c r="B96" s="9" t="s">
        <v>445</v>
      </c>
      <c r="C96" s="1" t="str" cm="1">
        <f t="array" ref="C96">_xlfn.IFS(LEN(B96) &lt;= 25, "Short", AND(LEN(B96) &gt; 25, LEN(B96) &lt;= 50), "Medium", LEN(B96) &gt; 50, "Long")</f>
        <v>Short</v>
      </c>
      <c r="D96" t="s">
        <v>80</v>
      </c>
      <c r="E96" s="1" t="s">
        <v>79</v>
      </c>
      <c r="F96" s="1" t="b">
        <f t="shared" si="7"/>
        <v>0</v>
      </c>
    </row>
    <row r="97" spans="1:6" x14ac:dyDescent="0.3">
      <c r="A97" s="1">
        <v>306</v>
      </c>
      <c r="B97" s="9" t="s">
        <v>316</v>
      </c>
      <c r="C97" s="1" t="str" cm="1">
        <f t="array" ref="C97">_xlfn.IFS(LEN(B97) &lt;= 25, "Short", AND(LEN(B97) &gt; 25, LEN(B97) &lt;= 50), "Medium", LEN(B97) &gt; 50, "Long")</f>
        <v>Short</v>
      </c>
      <c r="D97" t="s">
        <v>77</v>
      </c>
      <c r="E97" s="1" t="s">
        <v>77</v>
      </c>
      <c r="F97" s="1" t="b">
        <f t="shared" si="7"/>
        <v>1</v>
      </c>
    </row>
    <row r="98" spans="1:6" x14ac:dyDescent="0.3">
      <c r="A98" s="1">
        <v>307</v>
      </c>
      <c r="B98" s="9" t="s">
        <v>446</v>
      </c>
      <c r="C98" s="1" t="str" cm="1">
        <f t="array" ref="C98">_xlfn.IFS(LEN(B98) &lt;= 25, "Short", AND(LEN(B98) &gt; 25, LEN(B98) &lt;= 50), "Medium", LEN(B98) &gt; 50, "Long")</f>
        <v>Medium</v>
      </c>
      <c r="D98" t="s">
        <v>80</v>
      </c>
      <c r="E98" s="1" t="s">
        <v>80</v>
      </c>
      <c r="F98" s="1" t="b">
        <f t="shared" si="7"/>
        <v>1</v>
      </c>
    </row>
    <row r="99" spans="1:6" x14ac:dyDescent="0.3">
      <c r="A99" s="1">
        <v>308</v>
      </c>
      <c r="B99" s="9" t="s">
        <v>447</v>
      </c>
      <c r="C99" s="1" t="str" cm="1">
        <f t="array" ref="C99">_xlfn.IFS(LEN(B99) &lt;= 25, "Short", AND(LEN(B99) &gt; 25, LEN(B99) &lt;= 50), "Medium", LEN(B99) &gt; 50, "Long")</f>
        <v>Medium</v>
      </c>
      <c r="D99" t="s">
        <v>252</v>
      </c>
      <c r="E99" s="1" t="s">
        <v>252</v>
      </c>
      <c r="F99" s="1" t="b">
        <f t="shared" si="7"/>
        <v>1</v>
      </c>
    </row>
    <row r="100" spans="1:6" x14ac:dyDescent="0.3">
      <c r="A100" s="1">
        <v>309</v>
      </c>
      <c r="B100" s="9" t="s">
        <v>448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252</v>
      </c>
      <c r="E100" s="1" t="s">
        <v>77</v>
      </c>
      <c r="F100" s="1" t="b">
        <f t="shared" si="7"/>
        <v>0</v>
      </c>
    </row>
    <row r="101" spans="1:6" x14ac:dyDescent="0.3">
      <c r="A101" s="1">
        <v>310</v>
      </c>
      <c r="B101" s="9" t="s">
        <v>449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77</v>
      </c>
      <c r="E101" s="1" t="s">
        <v>80</v>
      </c>
      <c r="F101" s="1" t="b">
        <f t="shared" si="7"/>
        <v>0</v>
      </c>
    </row>
    <row r="102" spans="1:6" x14ac:dyDescent="0.3">
      <c r="A102" s="1">
        <v>311</v>
      </c>
      <c r="B102" s="9" t="s">
        <v>68</v>
      </c>
      <c r="C102" s="1" t="str" cm="1">
        <f t="array" ref="C102">_xlfn.IFS(LEN(B102) &lt;= 25, "Short", AND(LEN(B102) &gt; 25, LEN(B102) &lt;= 50), "Medium", LEN(B102) &gt; 50, "Long")</f>
        <v>Medium</v>
      </c>
      <c r="D102" t="s">
        <v>81</v>
      </c>
      <c r="E102" s="1" t="s">
        <v>79</v>
      </c>
      <c r="F102" s="1" t="b">
        <f t="shared" si="7"/>
        <v>0</v>
      </c>
    </row>
    <row r="103" spans="1:6" x14ac:dyDescent="0.3">
      <c r="A103" s="1">
        <v>312</v>
      </c>
      <c r="B103" s="9" t="s">
        <v>450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252</v>
      </c>
      <c r="E103" s="1" t="s">
        <v>252</v>
      </c>
      <c r="F103" s="1" t="b">
        <f t="shared" si="7"/>
        <v>1</v>
      </c>
    </row>
    <row r="104" spans="1:6" x14ac:dyDescent="0.3">
      <c r="A104" s="1">
        <v>313</v>
      </c>
      <c r="B104" s="9" t="s">
        <v>194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80</v>
      </c>
      <c r="E104" s="1" t="s">
        <v>80</v>
      </c>
      <c r="F104" s="1" t="b">
        <f t="shared" si="7"/>
        <v>1</v>
      </c>
    </row>
    <row r="105" spans="1:6" x14ac:dyDescent="0.3">
      <c r="A105" s="1">
        <v>314</v>
      </c>
      <c r="B105" s="9" t="s">
        <v>153</v>
      </c>
      <c r="C105" s="1" t="str" cm="1">
        <f t="array" ref="C105">_xlfn.IFS(LEN(B105) &lt;= 25, "Short", AND(LEN(B105) &gt; 25, LEN(B105) &lt;= 50), "Medium", LEN(B105) &gt; 50, "Long")</f>
        <v>Short</v>
      </c>
      <c r="D105" t="s">
        <v>252</v>
      </c>
      <c r="E105" s="1" t="s">
        <v>80</v>
      </c>
      <c r="F105" s="1" t="b">
        <f t="shared" si="7"/>
        <v>0</v>
      </c>
    </row>
    <row r="106" spans="1:6" x14ac:dyDescent="0.3">
      <c r="A106" s="1">
        <v>315</v>
      </c>
      <c r="B106" s="9" t="s">
        <v>451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79</v>
      </c>
      <c r="E106" s="1" t="s">
        <v>79</v>
      </c>
      <c r="F106" s="1" t="b">
        <f t="shared" si="7"/>
        <v>1</v>
      </c>
    </row>
    <row r="107" spans="1:6" x14ac:dyDescent="0.3">
      <c r="A107" s="1">
        <v>316</v>
      </c>
      <c r="B107" s="9" t="s">
        <v>13</v>
      </c>
      <c r="C107" s="1" t="str" cm="1">
        <f t="array" ref="C107">_xlfn.IFS(LEN(B107) &lt;= 25, "Short", AND(LEN(B107) &gt; 25, LEN(B107) &lt;= 50), "Medium", LEN(B107) &gt; 50, "Long")</f>
        <v>Short</v>
      </c>
      <c r="D107" t="s">
        <v>79</v>
      </c>
      <c r="E107" s="1" t="s">
        <v>77</v>
      </c>
      <c r="F107" s="1" t="b">
        <f t="shared" si="7"/>
        <v>0</v>
      </c>
    </row>
    <row r="108" spans="1:6" x14ac:dyDescent="0.3">
      <c r="A108" s="1">
        <v>317</v>
      </c>
      <c r="B108" s="9" t="s">
        <v>281</v>
      </c>
      <c r="C108" s="1" t="str" cm="1">
        <f t="array" ref="C108">_xlfn.IFS(LEN(B108) &lt;= 25, "Short", AND(LEN(B108) &gt; 25, LEN(B108) &lt;= 50), "Medium", LEN(B108) &gt; 50, "Long")</f>
        <v>Medium</v>
      </c>
      <c r="D108" t="s">
        <v>80</v>
      </c>
      <c r="E108" s="1" t="s">
        <v>77</v>
      </c>
      <c r="F108" s="1" t="b">
        <f t="shared" si="7"/>
        <v>0</v>
      </c>
    </row>
    <row r="109" spans="1:6" x14ac:dyDescent="0.3">
      <c r="A109" s="1">
        <v>318</v>
      </c>
      <c r="B109" s="9" t="s">
        <v>196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" t="b">
        <f t="shared" si="7"/>
        <v>0</v>
      </c>
    </row>
    <row r="110" spans="1:6" x14ac:dyDescent="0.3">
      <c r="A110" s="1">
        <v>319</v>
      </c>
      <c r="B110" s="9" t="s">
        <v>452</v>
      </c>
      <c r="C110" s="1" t="str" cm="1">
        <f t="array" ref="C110">_xlfn.IFS(LEN(B110) &lt;= 25, "Short", AND(LEN(B110) &gt; 25, LEN(B110) &lt;= 50), "Medium", LEN(B110) &gt; 50, "Long")</f>
        <v>Medium</v>
      </c>
      <c r="D110" t="s">
        <v>252</v>
      </c>
      <c r="E110" s="1" t="s">
        <v>252</v>
      </c>
      <c r="F110" s="1" t="b">
        <f t="shared" si="7"/>
        <v>1</v>
      </c>
    </row>
    <row r="111" spans="1:6" x14ac:dyDescent="0.3">
      <c r="A111" s="1">
        <v>320</v>
      </c>
      <c r="B111" s="9" t="s">
        <v>453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79</v>
      </c>
      <c r="E111" s="1" t="s">
        <v>82</v>
      </c>
      <c r="F111" s="1" t="b">
        <f t="shared" si="7"/>
        <v>0</v>
      </c>
    </row>
    <row r="112" spans="1:6" x14ac:dyDescent="0.3">
      <c r="A112" s="1">
        <v>321</v>
      </c>
      <c r="B112" s="9" t="s">
        <v>34</v>
      </c>
      <c r="C112" s="1" t="str" cm="1">
        <f t="array" ref="C112">_xlfn.IFS(LEN(B112) &lt;= 25, "Short", AND(LEN(B112) &gt; 25, LEN(B112) &lt;= 50), "Medium", LEN(B112) &gt; 50, "Long")</f>
        <v>Long</v>
      </c>
      <c r="D112" t="s">
        <v>81</v>
      </c>
      <c r="E112" s="1" t="s">
        <v>77</v>
      </c>
      <c r="F112" s="1" t="b">
        <f t="shared" si="7"/>
        <v>0</v>
      </c>
    </row>
    <row r="113" spans="1:6" x14ac:dyDescent="0.3">
      <c r="A113" s="1">
        <v>322</v>
      </c>
      <c r="B113" s="9" t="s">
        <v>152</v>
      </c>
      <c r="C113" s="1" t="str" cm="1">
        <f t="array" ref="C113">_xlfn.IFS(LEN(B113) &lt;= 25, "Short", AND(LEN(B113) &gt; 25, LEN(B113) &lt;= 50), "Medium", LEN(B113) &gt; 50, "Long")</f>
        <v>Medium</v>
      </c>
      <c r="D113" t="s">
        <v>81</v>
      </c>
      <c r="E113" s="1" t="s">
        <v>81</v>
      </c>
      <c r="F113" s="1" t="b">
        <f t="shared" si="7"/>
        <v>1</v>
      </c>
    </row>
    <row r="114" spans="1:6" x14ac:dyDescent="0.3">
      <c r="A114" s="1">
        <v>323</v>
      </c>
      <c r="B114" s="9" t="s">
        <v>14</v>
      </c>
      <c r="C114" s="1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324</v>
      </c>
      <c r="B115" s="9" t="s">
        <v>454</v>
      </c>
      <c r="C115" s="1" t="str" cm="1">
        <f t="array" ref="C115">_xlfn.IFS(LEN(B115) &lt;= 25, "Short", AND(LEN(B115) &gt; 25, LEN(B115) &lt;= 50), "Medium", LEN(B115) &gt; 50, "Long")</f>
        <v>Short</v>
      </c>
      <c r="D115" t="s">
        <v>79</v>
      </c>
      <c r="E115" s="1" t="s">
        <v>79</v>
      </c>
      <c r="F115" s="1" t="b">
        <f t="shared" si="7"/>
        <v>1</v>
      </c>
    </row>
    <row r="116" spans="1:6" x14ac:dyDescent="0.3">
      <c r="A116" s="1">
        <v>325</v>
      </c>
      <c r="B116" s="9" t="s">
        <v>122</v>
      </c>
      <c r="C116" s="1" t="str" cm="1">
        <f t="array" ref="C116">_xlfn.IFS(LEN(B116) &lt;= 25, "Short", AND(LEN(B116) &gt; 25, LEN(B116) &lt;= 50), "Medium", LEN(B116) &gt; 50, "Long")</f>
        <v>Medium</v>
      </c>
      <c r="D116" t="s">
        <v>252</v>
      </c>
      <c r="E116" s="1" t="s">
        <v>252</v>
      </c>
      <c r="F116" s="1" t="b">
        <f t="shared" si="7"/>
        <v>1</v>
      </c>
    </row>
    <row r="117" spans="1:6" x14ac:dyDescent="0.3">
      <c r="A117" s="1">
        <v>326</v>
      </c>
      <c r="B117" s="9" t="s">
        <v>455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252</v>
      </c>
      <c r="E117" s="1" t="s">
        <v>80</v>
      </c>
      <c r="F117" s="1" t="b">
        <f t="shared" si="7"/>
        <v>0</v>
      </c>
    </row>
    <row r="118" spans="1:6" x14ac:dyDescent="0.3">
      <c r="A118" s="1">
        <v>327</v>
      </c>
      <c r="B118" s="9" t="s">
        <v>109</v>
      </c>
      <c r="C118" s="1" t="str" cm="1">
        <f t="array" ref="C118">_xlfn.IFS(LEN(B118) &lt;= 25, "Short", AND(LEN(B118) &gt; 25, LEN(B118) &lt;= 50), "Medium", LEN(B118) &gt; 50, "Long")</f>
        <v>Medium</v>
      </c>
      <c r="D118" t="s">
        <v>81</v>
      </c>
      <c r="E118" s="1" t="s">
        <v>77</v>
      </c>
      <c r="F118" s="1" t="b">
        <f t="shared" si="7"/>
        <v>0</v>
      </c>
    </row>
    <row r="119" spans="1:6" x14ac:dyDescent="0.3">
      <c r="A119" s="1">
        <v>328</v>
      </c>
      <c r="B119" s="9" t="s">
        <v>456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77</v>
      </c>
      <c r="E119" s="1" t="s">
        <v>82</v>
      </c>
      <c r="F119" s="1" t="b">
        <f t="shared" si="7"/>
        <v>0</v>
      </c>
    </row>
    <row r="120" spans="1:6" x14ac:dyDescent="0.3">
      <c r="A120" s="1">
        <v>329</v>
      </c>
      <c r="B120" s="9" t="s">
        <v>115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80</v>
      </c>
      <c r="E120" s="1" t="s">
        <v>81</v>
      </c>
      <c r="F120" s="1" t="b">
        <f t="shared" si="7"/>
        <v>0</v>
      </c>
    </row>
    <row r="121" spans="1:6" x14ac:dyDescent="0.3">
      <c r="A121" s="1">
        <v>330</v>
      </c>
      <c r="B121" s="9" t="s">
        <v>147</v>
      </c>
      <c r="C121" s="1" t="str" cm="1">
        <f t="array" ref="C121">_xlfn.IFS(LEN(B121) &lt;= 25, "Short", AND(LEN(B121) &gt; 25, LEN(B121) &lt;= 50), "Medium", LEN(B121) &gt; 50, "Long")</f>
        <v>Medium</v>
      </c>
      <c r="D121" t="s">
        <v>80</v>
      </c>
      <c r="E121" s="1" t="s">
        <v>80</v>
      </c>
      <c r="F121" s="1" t="b">
        <f t="shared" si="7"/>
        <v>1</v>
      </c>
    </row>
    <row r="122" spans="1:6" x14ac:dyDescent="0.3">
      <c r="A122" s="1">
        <v>331</v>
      </c>
      <c r="B122" s="9" t="s">
        <v>457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80</v>
      </c>
      <c r="E122" s="1" t="s">
        <v>79</v>
      </c>
      <c r="F122" s="1" t="b">
        <f t="shared" si="7"/>
        <v>0</v>
      </c>
    </row>
    <row r="123" spans="1:6" x14ac:dyDescent="0.3">
      <c r="A123" s="1">
        <v>332</v>
      </c>
      <c r="B123" s="9" t="s">
        <v>458</v>
      </c>
      <c r="C123" s="1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333</v>
      </c>
      <c r="B124" s="9" t="s">
        <v>459</v>
      </c>
      <c r="C124" s="1" t="str" cm="1">
        <f t="array" ref="C124">_xlfn.IFS(LEN(B124) &lt;= 25, "Short", AND(LEN(B124) &gt; 25, LEN(B124) &lt;= 50), "Medium", LEN(B124) &gt; 50, "Long")</f>
        <v>Short</v>
      </c>
      <c r="D124" t="s">
        <v>79</v>
      </c>
      <c r="E124" s="1" t="s">
        <v>79</v>
      </c>
      <c r="F124" s="1" t="b">
        <f t="shared" si="7"/>
        <v>1</v>
      </c>
    </row>
    <row r="125" spans="1:6" x14ac:dyDescent="0.3">
      <c r="A125" s="1">
        <v>334</v>
      </c>
      <c r="B125" s="9" t="s">
        <v>460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82</v>
      </c>
      <c r="E125" s="1" t="s">
        <v>82</v>
      </c>
      <c r="F125" s="1" t="b">
        <f t="shared" si="7"/>
        <v>1</v>
      </c>
    </row>
    <row r="126" spans="1:6" x14ac:dyDescent="0.3">
      <c r="A126" s="1">
        <v>335</v>
      </c>
      <c r="B126" s="9" t="s">
        <v>461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77</v>
      </c>
      <c r="E126" s="1" t="s">
        <v>77</v>
      </c>
      <c r="F126" s="1" t="b">
        <f t="shared" si="7"/>
        <v>1</v>
      </c>
    </row>
    <row r="127" spans="1:6" x14ac:dyDescent="0.3">
      <c r="A127" s="1">
        <v>336</v>
      </c>
      <c r="B127" s="9" t="s">
        <v>462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80</v>
      </c>
      <c r="E127" s="1" t="s">
        <v>80</v>
      </c>
      <c r="F127" s="1" t="b">
        <f t="shared" si="7"/>
        <v>1</v>
      </c>
    </row>
    <row r="128" spans="1:6" x14ac:dyDescent="0.3">
      <c r="A128" s="1">
        <v>337</v>
      </c>
      <c r="B128" s="9" t="s">
        <v>463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252</v>
      </c>
      <c r="E128" s="1" t="s">
        <v>81</v>
      </c>
      <c r="F128" s="1" t="b">
        <f t="shared" si="7"/>
        <v>0</v>
      </c>
    </row>
    <row r="129" spans="1:6" x14ac:dyDescent="0.3">
      <c r="A129" s="1">
        <v>338</v>
      </c>
      <c r="B129" s="9" t="s">
        <v>54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" t="b">
        <f t="shared" si="7"/>
        <v>1</v>
      </c>
    </row>
    <row r="130" spans="1:6" x14ac:dyDescent="0.3">
      <c r="A130" s="1">
        <v>339</v>
      </c>
      <c r="B130" s="9" t="s">
        <v>203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79</v>
      </c>
      <c r="E130" s="1" t="s">
        <v>76</v>
      </c>
      <c r="F130" s="1" t="b">
        <f t="shared" si="7"/>
        <v>0</v>
      </c>
    </row>
    <row r="131" spans="1:6" x14ac:dyDescent="0.3">
      <c r="A131" s="1">
        <v>340</v>
      </c>
      <c r="B131" s="9" t="s">
        <v>204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79</v>
      </c>
      <c r="E131" s="1" t="s">
        <v>79</v>
      </c>
      <c r="F131" s="1" t="b">
        <f t="shared" ref="F131:F194" si="8">IF(D131=E131, TRUE, FALSE)</f>
        <v>1</v>
      </c>
    </row>
    <row r="132" spans="1:6" x14ac:dyDescent="0.3">
      <c r="A132" s="1">
        <v>341</v>
      </c>
      <c r="B132" s="9" t="s">
        <v>464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342</v>
      </c>
      <c r="B133" s="9" t="s">
        <v>37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80</v>
      </c>
      <c r="E133" s="1" t="s">
        <v>80</v>
      </c>
      <c r="F133" s="1" t="b">
        <f t="shared" si="8"/>
        <v>1</v>
      </c>
    </row>
    <row r="134" spans="1:6" x14ac:dyDescent="0.3">
      <c r="A134" s="1">
        <v>343</v>
      </c>
      <c r="B134" s="9" t="s">
        <v>465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252</v>
      </c>
      <c r="E134" s="1" t="s">
        <v>252</v>
      </c>
      <c r="F134" s="1" t="b">
        <f t="shared" si="8"/>
        <v>1</v>
      </c>
    </row>
    <row r="135" spans="1:6" x14ac:dyDescent="0.3">
      <c r="A135" s="1">
        <v>344</v>
      </c>
      <c r="B135" s="9" t="s">
        <v>11</v>
      </c>
      <c r="C135" s="1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" t="b">
        <f t="shared" si="8"/>
        <v>1</v>
      </c>
    </row>
    <row r="136" spans="1:6" x14ac:dyDescent="0.3">
      <c r="A136" s="1">
        <v>345</v>
      </c>
      <c r="B136" s="9" t="s">
        <v>466</v>
      </c>
      <c r="C136" s="1" t="str" cm="1">
        <f t="array" ref="C136">_xlfn.IFS(LEN(B136) &lt;= 25, "Short", AND(LEN(B136) &gt; 25, LEN(B136) &lt;= 50), "Medium", LEN(B136) &gt; 50, "Long")</f>
        <v>Medium</v>
      </c>
      <c r="D136" t="s">
        <v>81</v>
      </c>
      <c r="E136" s="1" t="s">
        <v>77</v>
      </c>
      <c r="F136" s="1" t="b">
        <f t="shared" si="8"/>
        <v>0</v>
      </c>
    </row>
    <row r="137" spans="1:6" x14ac:dyDescent="0.3">
      <c r="A137" s="1">
        <v>346</v>
      </c>
      <c r="B137" s="9" t="s">
        <v>206</v>
      </c>
      <c r="C137" s="1" t="str" cm="1">
        <f t="array" ref="C137">_xlfn.IFS(LEN(B137) &lt;= 25, "Short", AND(LEN(B137) &gt; 25, LEN(B137) &lt;= 50), "Medium", LEN(B137) &gt; 50, "Long")</f>
        <v>Long</v>
      </c>
      <c r="D137" t="s">
        <v>81</v>
      </c>
      <c r="E137" s="1" t="s">
        <v>81</v>
      </c>
      <c r="F137" s="1" t="b">
        <f t="shared" si="8"/>
        <v>1</v>
      </c>
    </row>
    <row r="138" spans="1:6" x14ac:dyDescent="0.3">
      <c r="A138" s="1">
        <v>347</v>
      </c>
      <c r="B138" s="9" t="s">
        <v>467</v>
      </c>
      <c r="C138" s="1" t="str" cm="1">
        <f t="array" ref="C138">_xlfn.IFS(LEN(B138) &lt;= 25, "Short", AND(LEN(B138) &gt; 25, LEN(B138) &lt;= 50), "Medium", LEN(B138) &gt; 50, "Long")</f>
        <v>Short</v>
      </c>
      <c r="D138" t="s">
        <v>77</v>
      </c>
      <c r="E138" s="1" t="s">
        <v>77</v>
      </c>
      <c r="F138" s="1" t="b">
        <f t="shared" si="8"/>
        <v>1</v>
      </c>
    </row>
    <row r="139" spans="1:6" x14ac:dyDescent="0.3">
      <c r="A139" s="1">
        <v>348</v>
      </c>
      <c r="B139" s="9" t="s">
        <v>468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77</v>
      </c>
      <c r="E139" s="1" t="s">
        <v>77</v>
      </c>
      <c r="F139" s="1" t="b">
        <f t="shared" si="8"/>
        <v>1</v>
      </c>
    </row>
    <row r="140" spans="1:6" x14ac:dyDescent="0.3">
      <c r="A140" s="1">
        <v>349</v>
      </c>
      <c r="B140" s="9" t="s">
        <v>469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80</v>
      </c>
      <c r="E140" s="1" t="s">
        <v>80</v>
      </c>
      <c r="F140" s="1" t="b">
        <f t="shared" si="8"/>
        <v>1</v>
      </c>
    </row>
    <row r="141" spans="1:6" x14ac:dyDescent="0.3">
      <c r="A141" s="1">
        <v>350</v>
      </c>
      <c r="B141" s="9" t="s">
        <v>470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79</v>
      </c>
      <c r="E141" s="1" t="s">
        <v>79</v>
      </c>
      <c r="F141" s="1" t="b">
        <f t="shared" si="8"/>
        <v>1</v>
      </c>
    </row>
    <row r="142" spans="1:6" x14ac:dyDescent="0.3">
      <c r="A142" s="1">
        <v>351</v>
      </c>
      <c r="B142" s="9" t="s">
        <v>471</v>
      </c>
      <c r="C142" s="1" t="str" cm="1">
        <f t="array" ref="C142">_xlfn.IFS(LEN(B142) &lt;= 25, "Short", AND(LEN(B142) &gt; 25, LEN(B142) &lt;= 50), "Medium", LEN(B142) &gt; 50, "Long")</f>
        <v>Short</v>
      </c>
      <c r="D142" t="s">
        <v>79</v>
      </c>
      <c r="E142" s="1" t="s">
        <v>79</v>
      </c>
      <c r="F142" s="1" t="b">
        <f t="shared" si="8"/>
        <v>1</v>
      </c>
    </row>
    <row r="143" spans="1:6" x14ac:dyDescent="0.3">
      <c r="A143" s="1">
        <v>352</v>
      </c>
      <c r="B143" s="9" t="s">
        <v>472</v>
      </c>
      <c r="C143" s="1" t="str" cm="1">
        <f t="array" ref="C143">_xlfn.IFS(LEN(B143) &lt;= 25, "Short", AND(LEN(B143) &gt; 25, LEN(B143) &lt;= 50), "Medium", LEN(B143) &gt; 50, "Long")</f>
        <v>Short</v>
      </c>
      <c r="D143" t="s">
        <v>80</v>
      </c>
      <c r="E143" s="1" t="s">
        <v>77</v>
      </c>
      <c r="F143" s="1" t="b">
        <f t="shared" si="8"/>
        <v>0</v>
      </c>
    </row>
    <row r="144" spans="1:6" x14ac:dyDescent="0.3">
      <c r="A144" s="1">
        <v>353</v>
      </c>
      <c r="B144" s="9" t="s">
        <v>473</v>
      </c>
      <c r="C144" s="1" t="str" cm="1">
        <f t="array" ref="C144">_xlfn.IFS(LEN(B144) &lt;= 25, "Short", AND(LEN(B144) &gt; 25, LEN(B144) &lt;= 50), "Medium", LEN(B144) &gt; 50, "Long")</f>
        <v>Short</v>
      </c>
      <c r="D144" t="s">
        <v>79</v>
      </c>
      <c r="E144" s="1" t="s">
        <v>77</v>
      </c>
      <c r="F144" s="1" t="b">
        <f t="shared" si="8"/>
        <v>0</v>
      </c>
    </row>
    <row r="145" spans="1:6" x14ac:dyDescent="0.3">
      <c r="A145" s="1">
        <v>354</v>
      </c>
      <c r="B145" s="9" t="s">
        <v>94</v>
      </c>
      <c r="C145" s="1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" t="b">
        <f t="shared" si="8"/>
        <v>1</v>
      </c>
    </row>
    <row r="146" spans="1:6" x14ac:dyDescent="0.3">
      <c r="A146" s="1">
        <v>355</v>
      </c>
      <c r="B146" s="9" t="s">
        <v>474</v>
      </c>
      <c r="C146" s="1" t="str" cm="1">
        <f t="array" ref="C146">_xlfn.IFS(LEN(B146) &lt;= 25, "Short", AND(LEN(B146) &gt; 25, LEN(B146) &lt;= 50), "Medium", LEN(B146) &gt; 50, "Long")</f>
        <v>Medium</v>
      </c>
      <c r="D146" t="s">
        <v>77</v>
      </c>
      <c r="E146" s="1" t="s">
        <v>80</v>
      </c>
      <c r="F146" s="1" t="b">
        <f t="shared" si="8"/>
        <v>0</v>
      </c>
    </row>
    <row r="147" spans="1:6" x14ac:dyDescent="0.3">
      <c r="A147" s="1">
        <v>356</v>
      </c>
      <c r="B147" s="9" t="s">
        <v>148</v>
      </c>
      <c r="C147" s="1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" t="b">
        <f t="shared" si="8"/>
        <v>1</v>
      </c>
    </row>
    <row r="148" spans="1:6" x14ac:dyDescent="0.3">
      <c r="A148" s="1">
        <v>357</v>
      </c>
      <c r="B148" s="9" t="s">
        <v>31</v>
      </c>
      <c r="C148" s="1" t="str" cm="1">
        <f t="array" ref="C148">_xlfn.IFS(LEN(B148) &lt;= 25, "Short", AND(LEN(B148) &gt; 25, LEN(B148) &lt;= 50), "Medium", LEN(B148) &gt; 50, "Long")</f>
        <v>Short</v>
      </c>
      <c r="D148" t="s">
        <v>79</v>
      </c>
      <c r="E148" s="1" t="s">
        <v>79</v>
      </c>
      <c r="F148" s="1" t="b">
        <f t="shared" si="8"/>
        <v>1</v>
      </c>
    </row>
    <row r="149" spans="1:6" x14ac:dyDescent="0.3">
      <c r="A149" s="1">
        <v>358</v>
      </c>
      <c r="B149" s="9" t="s">
        <v>475</v>
      </c>
      <c r="C149" s="1" t="str" cm="1">
        <f t="array" ref="C149">_xlfn.IFS(LEN(B149) &lt;= 25, "Short", AND(LEN(B149) &gt; 25, LEN(B149) &lt;= 50), "Medium", LEN(B149) &gt; 50, "Long")</f>
        <v>Short</v>
      </c>
      <c r="D149" t="s">
        <v>77</v>
      </c>
      <c r="E149" s="1" t="s">
        <v>81</v>
      </c>
      <c r="F149" s="1" t="b">
        <f t="shared" si="8"/>
        <v>0</v>
      </c>
    </row>
    <row r="150" spans="1:6" x14ac:dyDescent="0.3">
      <c r="A150" s="1">
        <v>359</v>
      </c>
      <c r="B150" s="9" t="s">
        <v>42</v>
      </c>
      <c r="C150" s="1" t="str" cm="1">
        <f t="array" ref="C150">_xlfn.IFS(LEN(B150) &lt;= 25, "Short", AND(LEN(B150) &gt; 25, LEN(B150) &lt;= 50), "Medium", LEN(B150) &gt; 50, "Long")</f>
        <v>Short</v>
      </c>
      <c r="D150" t="s">
        <v>82</v>
      </c>
      <c r="E150" s="1" t="s">
        <v>82</v>
      </c>
      <c r="F150" s="1" t="b">
        <f t="shared" si="8"/>
        <v>1</v>
      </c>
    </row>
    <row r="151" spans="1:6" x14ac:dyDescent="0.3">
      <c r="A151" s="1">
        <v>360</v>
      </c>
      <c r="B151" s="9" t="s">
        <v>476</v>
      </c>
      <c r="C151" s="1" t="str" cm="1">
        <f t="array" ref="C151">_xlfn.IFS(LEN(B151) &lt;= 25, "Short", AND(LEN(B151) &gt; 25, LEN(B151) &lt;= 50), "Medium", LEN(B151) &gt; 50, "Long")</f>
        <v>Short</v>
      </c>
      <c r="D151" t="s">
        <v>80</v>
      </c>
      <c r="E151" s="1" t="s">
        <v>80</v>
      </c>
      <c r="F151" s="1" t="b">
        <f t="shared" si="8"/>
        <v>1</v>
      </c>
    </row>
    <row r="152" spans="1:6" x14ac:dyDescent="0.3">
      <c r="A152" s="1">
        <v>361</v>
      </c>
      <c r="B152" s="9" t="s">
        <v>44</v>
      </c>
      <c r="C152" s="1" t="str" cm="1">
        <f t="array" ref="C152">_xlfn.IFS(LEN(B152) &lt;= 25, "Short", AND(LEN(B152) &gt; 25, LEN(B152) &lt;= 50), "Medium", LEN(B152) &gt; 50, "Long")</f>
        <v>Medium</v>
      </c>
      <c r="D152" t="s">
        <v>81</v>
      </c>
      <c r="E152" s="1" t="s">
        <v>81</v>
      </c>
      <c r="F152" s="1" t="b">
        <f t="shared" si="8"/>
        <v>1</v>
      </c>
    </row>
    <row r="153" spans="1:6" x14ac:dyDescent="0.3">
      <c r="A153" s="1">
        <v>362</v>
      </c>
      <c r="B153" s="9" t="s">
        <v>477</v>
      </c>
      <c r="C153" s="1" t="str" cm="1">
        <f t="array" ref="C153">_xlfn.IFS(LEN(B153) &lt;= 25, "Short", AND(LEN(B153) &gt; 25, LEN(B153) &lt;= 50), "Medium", LEN(B153) &gt; 50, "Long")</f>
        <v>Medium</v>
      </c>
      <c r="D153" t="s">
        <v>252</v>
      </c>
      <c r="E153" s="1" t="s">
        <v>77</v>
      </c>
      <c r="F153" s="1" t="b">
        <f t="shared" si="8"/>
        <v>0</v>
      </c>
    </row>
    <row r="154" spans="1:6" x14ac:dyDescent="0.3">
      <c r="A154" s="1">
        <v>363</v>
      </c>
      <c r="B154" s="9" t="s">
        <v>110</v>
      </c>
      <c r="C154" s="1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" t="b">
        <f t="shared" si="8"/>
        <v>1</v>
      </c>
    </row>
    <row r="155" spans="1:6" x14ac:dyDescent="0.3">
      <c r="A155" s="1">
        <v>364</v>
      </c>
      <c r="B155" s="9" t="s">
        <v>478</v>
      </c>
      <c r="C155" s="1" t="str" cm="1">
        <f t="array" ref="C155">_xlfn.IFS(LEN(B155) &lt;= 25, "Short", AND(LEN(B155) &gt; 25, LEN(B155) &lt;= 50), "Medium", LEN(B155) &gt; 50, "Long")</f>
        <v>Medium</v>
      </c>
      <c r="D155" t="s">
        <v>79</v>
      </c>
      <c r="E155" s="1" t="s">
        <v>79</v>
      </c>
      <c r="F155" s="1" t="b">
        <f t="shared" si="8"/>
        <v>1</v>
      </c>
    </row>
    <row r="156" spans="1:6" x14ac:dyDescent="0.3">
      <c r="A156" s="1">
        <v>365</v>
      </c>
      <c r="B156" s="9" t="s">
        <v>479</v>
      </c>
      <c r="C156" s="1" t="str" cm="1">
        <f t="array" ref="C156">_xlfn.IFS(LEN(B156) &lt;= 25, "Short", AND(LEN(B156) &gt; 25, LEN(B156) &lt;= 50), "Medium", LEN(B156) &gt; 50, "Long")</f>
        <v>Long</v>
      </c>
      <c r="D156" t="s">
        <v>76</v>
      </c>
      <c r="E156" s="1" t="s">
        <v>80</v>
      </c>
      <c r="F156" s="1" t="b">
        <f t="shared" si="8"/>
        <v>0</v>
      </c>
    </row>
    <row r="157" spans="1:6" x14ac:dyDescent="0.3">
      <c r="A157" s="1">
        <v>366</v>
      </c>
      <c r="B157" s="9" t="s">
        <v>210</v>
      </c>
      <c r="C157" s="1" t="str" cm="1">
        <f t="array" ref="C157">_xlfn.IFS(LEN(B157) &lt;= 25, "Short", AND(LEN(B157) &gt; 25, LEN(B157) &lt;= 50), "Medium", LEN(B157) &gt; 50, "Long")</f>
        <v>Medium</v>
      </c>
      <c r="D157" t="s">
        <v>81</v>
      </c>
      <c r="E157" s="1" t="s">
        <v>252</v>
      </c>
      <c r="F157" s="1" t="b">
        <f t="shared" si="8"/>
        <v>0</v>
      </c>
    </row>
    <row r="158" spans="1:6" x14ac:dyDescent="0.3">
      <c r="A158" s="1">
        <v>367</v>
      </c>
      <c r="B158" s="9" t="s">
        <v>15</v>
      </c>
      <c r="C158" s="1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" t="b">
        <f t="shared" si="8"/>
        <v>1</v>
      </c>
    </row>
    <row r="159" spans="1:6" x14ac:dyDescent="0.3">
      <c r="A159" s="1">
        <v>368</v>
      </c>
      <c r="B159" s="9" t="s">
        <v>92</v>
      </c>
      <c r="C159" s="1" t="str" cm="1">
        <f t="array" ref="C159">_xlfn.IFS(LEN(B159) &lt;= 25, "Short", AND(LEN(B159) &gt; 25, LEN(B159) &lt;= 50), "Medium", LEN(B159) &gt; 50, "Long")</f>
        <v>Medium</v>
      </c>
      <c r="D159" t="s">
        <v>80</v>
      </c>
      <c r="E159" s="1" t="s">
        <v>80</v>
      </c>
      <c r="F159" s="1" t="b">
        <f t="shared" si="8"/>
        <v>1</v>
      </c>
    </row>
    <row r="160" spans="1:6" x14ac:dyDescent="0.3">
      <c r="A160" s="1">
        <v>369</v>
      </c>
      <c r="B160" s="9" t="s">
        <v>50</v>
      </c>
      <c r="C160" s="1" t="str" cm="1">
        <f t="array" ref="C160">_xlfn.IFS(LEN(B160) &lt;= 25, "Short", AND(LEN(B160) &gt; 25, LEN(B160) &lt;= 50), "Medium", LEN(B160) &gt; 50, "Long")</f>
        <v>Short</v>
      </c>
      <c r="D160" t="s">
        <v>79</v>
      </c>
      <c r="E160" s="1" t="s">
        <v>79</v>
      </c>
      <c r="F160" s="1" t="b">
        <f t="shared" si="8"/>
        <v>1</v>
      </c>
    </row>
    <row r="161" spans="1:6" x14ac:dyDescent="0.3">
      <c r="A161" s="1">
        <v>370</v>
      </c>
      <c r="B161" s="9" t="s">
        <v>211</v>
      </c>
      <c r="C161" s="1" t="str" cm="1">
        <f t="array" ref="C161">_xlfn.IFS(LEN(B161) &lt;= 25, "Short", AND(LEN(B161) &gt; 25, LEN(B161) &lt;= 50), "Medium", LEN(B161) &gt; 50, "Long")</f>
        <v>Medium</v>
      </c>
      <c r="D161" t="s">
        <v>77</v>
      </c>
      <c r="E161" s="1" t="s">
        <v>82</v>
      </c>
      <c r="F161" s="1" t="b">
        <f t="shared" si="8"/>
        <v>0</v>
      </c>
    </row>
    <row r="162" spans="1:6" x14ac:dyDescent="0.3">
      <c r="A162" s="1">
        <v>371</v>
      </c>
      <c r="B162" s="9" t="s">
        <v>480</v>
      </c>
      <c r="C162" s="1" t="str" cm="1">
        <f t="array" ref="C162">_xlfn.IFS(LEN(B162) &lt;= 25, "Short", AND(LEN(B162) &gt; 25, LEN(B162) &lt;= 50), "Medium", LEN(B162) &gt; 50, "Long")</f>
        <v>Short</v>
      </c>
      <c r="D162" t="s">
        <v>77</v>
      </c>
      <c r="E162" s="1" t="s">
        <v>82</v>
      </c>
      <c r="F162" s="1" t="b">
        <f t="shared" si="8"/>
        <v>0</v>
      </c>
    </row>
    <row r="163" spans="1:6" x14ac:dyDescent="0.3">
      <c r="A163" s="1">
        <v>372</v>
      </c>
      <c r="B163" s="9" t="s">
        <v>40</v>
      </c>
      <c r="C163" s="1" t="str" cm="1">
        <f t="array" ref="C163">_xlfn.IFS(LEN(B163) &lt;= 25, "Short", AND(LEN(B163) &gt; 25, LEN(B163) &lt;= 50), "Medium", LEN(B163) &gt; 50, "Long")</f>
        <v>Medium</v>
      </c>
      <c r="D163" t="s">
        <v>81</v>
      </c>
      <c r="E163" s="1" t="s">
        <v>252</v>
      </c>
      <c r="F163" s="1" t="b">
        <f t="shared" si="8"/>
        <v>0</v>
      </c>
    </row>
    <row r="164" spans="1:6" x14ac:dyDescent="0.3">
      <c r="A164" s="1">
        <v>373</v>
      </c>
      <c r="B164" s="9" t="s">
        <v>481</v>
      </c>
      <c r="C164" s="1" t="str" cm="1">
        <f t="array" ref="C164">_xlfn.IFS(LEN(B164) &lt;= 25, "Short", AND(LEN(B164) &gt; 25, LEN(B164) &lt;= 50), "Medium", LEN(B164) &gt; 50, "Long")</f>
        <v>Medium</v>
      </c>
      <c r="D164" t="s">
        <v>80</v>
      </c>
      <c r="E164" s="1" t="s">
        <v>79</v>
      </c>
      <c r="F164" s="1" t="b">
        <f t="shared" si="8"/>
        <v>0</v>
      </c>
    </row>
    <row r="165" spans="1:6" x14ac:dyDescent="0.3">
      <c r="A165" s="1">
        <v>374</v>
      </c>
      <c r="B165" s="9" t="s">
        <v>331</v>
      </c>
      <c r="C165" s="1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" t="b">
        <f t="shared" si="8"/>
        <v>1</v>
      </c>
    </row>
    <row r="166" spans="1:6" x14ac:dyDescent="0.3">
      <c r="A166" s="1">
        <v>375</v>
      </c>
      <c r="B166" s="9" t="s">
        <v>482</v>
      </c>
      <c r="C166" s="1" t="str" cm="1">
        <f t="array" ref="C166">_xlfn.IFS(LEN(B166) &lt;= 25, "Short", AND(LEN(B166) &gt; 25, LEN(B166) &lt;= 50), "Medium", LEN(B166) &gt; 50, "Long")</f>
        <v>Medium</v>
      </c>
      <c r="D166" t="s">
        <v>77</v>
      </c>
      <c r="E166" s="1" t="s">
        <v>82</v>
      </c>
      <c r="F166" s="1" t="b">
        <f t="shared" si="8"/>
        <v>0</v>
      </c>
    </row>
    <row r="167" spans="1:6" x14ac:dyDescent="0.3">
      <c r="A167" s="1">
        <v>376</v>
      </c>
      <c r="B167" s="9" t="s">
        <v>483</v>
      </c>
      <c r="C167" s="1" t="str" cm="1">
        <f t="array" ref="C167">_xlfn.IFS(LEN(B167) &lt;= 25, "Short", AND(LEN(B167) &gt; 25, LEN(B167) &lt;= 50), "Medium", LEN(B167) &gt; 50, "Long")</f>
        <v>Medium</v>
      </c>
      <c r="D167" t="s">
        <v>77</v>
      </c>
      <c r="E167" s="1" t="s">
        <v>77</v>
      </c>
      <c r="F167" s="1" t="b">
        <f t="shared" si="8"/>
        <v>1</v>
      </c>
    </row>
    <row r="168" spans="1:6" x14ac:dyDescent="0.3">
      <c r="A168" s="1">
        <v>377</v>
      </c>
      <c r="B168" s="9" t="s">
        <v>212</v>
      </c>
      <c r="C168" s="1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" t="b">
        <f t="shared" si="8"/>
        <v>1</v>
      </c>
    </row>
    <row r="169" spans="1:6" x14ac:dyDescent="0.3">
      <c r="A169" s="1">
        <v>378</v>
      </c>
      <c r="B169" s="9" t="s">
        <v>484</v>
      </c>
      <c r="C169" s="1" t="str" cm="1">
        <f t="array" ref="C169">_xlfn.IFS(LEN(B169) &lt;= 25, "Short", AND(LEN(B169) &gt; 25, LEN(B169) &lt;= 50), "Medium", LEN(B169) &gt; 50, "Long")</f>
        <v>Short</v>
      </c>
      <c r="D169" t="s">
        <v>77</v>
      </c>
      <c r="E169" s="1" t="s">
        <v>82</v>
      </c>
      <c r="F169" s="1" t="b">
        <f t="shared" si="8"/>
        <v>0</v>
      </c>
    </row>
    <row r="170" spans="1:6" x14ac:dyDescent="0.3">
      <c r="A170" s="1">
        <v>379</v>
      </c>
      <c r="B170" s="9" t="s">
        <v>485</v>
      </c>
      <c r="C170" s="1" t="str" cm="1">
        <f t="array" ref="C170">_xlfn.IFS(LEN(B170) &lt;= 25, "Short", AND(LEN(B170) &gt; 25, LEN(B170) &lt;= 50), "Medium", LEN(B170) &gt; 50, "Long")</f>
        <v>Short</v>
      </c>
      <c r="D170" t="s">
        <v>80</v>
      </c>
      <c r="E170" s="1" t="s">
        <v>77</v>
      </c>
      <c r="F170" s="1" t="b">
        <f t="shared" si="8"/>
        <v>0</v>
      </c>
    </row>
    <row r="171" spans="1:6" x14ac:dyDescent="0.3">
      <c r="A171" s="1">
        <v>380</v>
      </c>
      <c r="B171" s="9" t="s">
        <v>486</v>
      </c>
      <c r="C171" s="1" t="str" cm="1">
        <f t="array" ref="C171">_xlfn.IFS(LEN(B171) &lt;= 25, "Short", AND(LEN(B171) &gt; 25, LEN(B171) &lt;= 50), "Medium", LEN(B171) &gt; 50, "Long")</f>
        <v>Short</v>
      </c>
      <c r="D171" t="s">
        <v>77</v>
      </c>
      <c r="E171" s="1" t="s">
        <v>82</v>
      </c>
      <c r="F171" s="1" t="b">
        <f t="shared" si="8"/>
        <v>0</v>
      </c>
    </row>
    <row r="172" spans="1:6" x14ac:dyDescent="0.3">
      <c r="A172" s="1">
        <v>381</v>
      </c>
      <c r="B172" s="9" t="s">
        <v>487</v>
      </c>
      <c r="C172" s="1" t="str" cm="1">
        <f t="array" ref="C172">_xlfn.IFS(LEN(B172) &lt;= 25, "Short", AND(LEN(B172) &gt; 25, LEN(B172) &lt;= 50), "Medium", LEN(B172) &gt; 50, "Long")</f>
        <v>Short</v>
      </c>
      <c r="D172" t="s">
        <v>252</v>
      </c>
      <c r="E172" s="1" t="s">
        <v>77</v>
      </c>
      <c r="F172" s="1" t="b">
        <f t="shared" si="8"/>
        <v>0</v>
      </c>
    </row>
    <row r="173" spans="1:6" x14ac:dyDescent="0.3">
      <c r="A173" s="1">
        <v>382</v>
      </c>
      <c r="B173" s="9" t="s">
        <v>216</v>
      </c>
      <c r="C173" s="1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" t="b">
        <f t="shared" si="8"/>
        <v>1</v>
      </c>
    </row>
    <row r="174" spans="1:6" x14ac:dyDescent="0.3">
      <c r="A174" s="1">
        <v>383</v>
      </c>
      <c r="B174" s="9" t="s">
        <v>488</v>
      </c>
      <c r="C174" s="1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" t="b">
        <f t="shared" si="8"/>
        <v>1</v>
      </c>
    </row>
    <row r="175" spans="1:6" x14ac:dyDescent="0.3">
      <c r="A175" s="1">
        <v>384</v>
      </c>
      <c r="B175" s="9" t="s">
        <v>46</v>
      </c>
      <c r="C175" s="1" t="str" cm="1">
        <f t="array" ref="C175">_xlfn.IFS(LEN(B175) &lt;= 25, "Short", AND(LEN(B175) &gt; 25, LEN(B175) &lt;= 50), "Medium", LEN(B175) &gt; 50, "Long")</f>
        <v>Short</v>
      </c>
      <c r="D175" t="s">
        <v>80</v>
      </c>
      <c r="E175" s="1" t="s">
        <v>80</v>
      </c>
      <c r="F175" s="1" t="b">
        <f t="shared" si="8"/>
        <v>1</v>
      </c>
    </row>
    <row r="176" spans="1:6" x14ac:dyDescent="0.3">
      <c r="A176" s="1">
        <v>385</v>
      </c>
      <c r="B176" s="9" t="s">
        <v>489</v>
      </c>
      <c r="C176" s="1" t="str" cm="1">
        <f t="array" ref="C176">_xlfn.IFS(LEN(B176) &lt;= 25, "Short", AND(LEN(B176) &gt; 25, LEN(B176) &lt;= 50), "Medium", LEN(B176) &gt; 50, "Long")</f>
        <v>Short</v>
      </c>
      <c r="D176" t="s">
        <v>77</v>
      </c>
      <c r="E176" s="1" t="s">
        <v>77</v>
      </c>
      <c r="F176" s="1" t="b">
        <f t="shared" si="8"/>
        <v>1</v>
      </c>
    </row>
    <row r="177" spans="1:6" x14ac:dyDescent="0.3">
      <c r="A177" s="1">
        <v>386</v>
      </c>
      <c r="B177" s="9" t="s">
        <v>490</v>
      </c>
      <c r="C177" s="1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" t="b">
        <f t="shared" si="8"/>
        <v>1</v>
      </c>
    </row>
    <row r="178" spans="1:6" x14ac:dyDescent="0.3">
      <c r="A178" s="1">
        <v>387</v>
      </c>
      <c r="B178" s="9" t="s">
        <v>491</v>
      </c>
      <c r="C178" s="1" t="str" cm="1">
        <f t="array" ref="C178">_xlfn.IFS(LEN(B178) &lt;= 25, "Short", AND(LEN(B178) &gt; 25, LEN(B178) &lt;= 50), "Medium", LEN(B178) &gt; 50, "Long")</f>
        <v>Short</v>
      </c>
      <c r="D178" t="s">
        <v>81</v>
      </c>
      <c r="E178" s="1" t="s">
        <v>81</v>
      </c>
      <c r="F178" s="1" t="b">
        <f t="shared" si="8"/>
        <v>1</v>
      </c>
    </row>
    <row r="179" spans="1:6" x14ac:dyDescent="0.3">
      <c r="A179" s="1">
        <v>388</v>
      </c>
      <c r="B179" s="9" t="s">
        <v>332</v>
      </c>
      <c r="C179" s="1" t="str" cm="1">
        <f t="array" ref="C179">_xlfn.IFS(LEN(B179) &lt;= 25, "Short", AND(LEN(B179) &gt; 25, LEN(B179) &lt;= 50), "Medium", LEN(B179) &gt; 50, "Long")</f>
        <v>Short</v>
      </c>
      <c r="D179" t="s">
        <v>76</v>
      </c>
      <c r="E179" s="1" t="s">
        <v>76</v>
      </c>
      <c r="F179" s="1" t="b">
        <f t="shared" si="8"/>
        <v>1</v>
      </c>
    </row>
    <row r="180" spans="1:6" x14ac:dyDescent="0.3">
      <c r="A180" s="1">
        <v>389</v>
      </c>
      <c r="B180" s="9" t="s">
        <v>218</v>
      </c>
      <c r="C180" s="1" t="str" cm="1">
        <f t="array" ref="C180">_xlfn.IFS(LEN(B180) &lt;= 25, "Short", AND(LEN(B180) &gt; 25, LEN(B180) &lt;= 50), "Medium", LEN(B180) &gt; 50, "Long")</f>
        <v>Short</v>
      </c>
      <c r="D180" t="s">
        <v>81</v>
      </c>
      <c r="E180" s="1" t="s">
        <v>252</v>
      </c>
      <c r="F180" s="1" t="b">
        <f t="shared" si="8"/>
        <v>0</v>
      </c>
    </row>
    <row r="181" spans="1:6" x14ac:dyDescent="0.3">
      <c r="A181" s="1">
        <v>390</v>
      </c>
      <c r="B181" s="9" t="s">
        <v>492</v>
      </c>
      <c r="C181" s="1" t="str" cm="1">
        <f t="array" ref="C181">_xlfn.IFS(LEN(B181) &lt;= 25, "Short", AND(LEN(B181) &gt; 25, LEN(B181) &lt;= 50), "Medium", LEN(B181) &gt; 50, "Long")</f>
        <v>Short</v>
      </c>
      <c r="D181" t="s">
        <v>81</v>
      </c>
      <c r="E181" s="1" t="s">
        <v>80</v>
      </c>
      <c r="F181" s="1" t="b">
        <f t="shared" si="8"/>
        <v>0</v>
      </c>
    </row>
    <row r="182" spans="1:6" x14ac:dyDescent="0.3">
      <c r="A182" s="1">
        <v>391</v>
      </c>
      <c r="B182" s="9" t="s">
        <v>493</v>
      </c>
      <c r="C182" s="1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" t="b">
        <f t="shared" si="8"/>
        <v>1</v>
      </c>
    </row>
    <row r="183" spans="1:6" x14ac:dyDescent="0.3">
      <c r="A183" s="1">
        <v>392</v>
      </c>
      <c r="B183" s="9" t="s">
        <v>494</v>
      </c>
      <c r="C183" s="1" t="str" cm="1">
        <f t="array" ref="C183">_xlfn.IFS(LEN(B183) &lt;= 25, "Short", AND(LEN(B183) &gt; 25, LEN(B183) &lt;= 50), "Medium", LEN(B183) &gt; 50, "Long")</f>
        <v>Medium</v>
      </c>
      <c r="D183" t="s">
        <v>252</v>
      </c>
      <c r="E183" s="1" t="s">
        <v>252</v>
      </c>
      <c r="F183" s="1" t="b">
        <f t="shared" si="8"/>
        <v>1</v>
      </c>
    </row>
    <row r="184" spans="1:6" x14ac:dyDescent="0.3">
      <c r="A184" s="1">
        <v>393</v>
      </c>
      <c r="B184" s="9" t="s">
        <v>219</v>
      </c>
      <c r="C184" s="1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" t="b">
        <f t="shared" si="8"/>
        <v>1</v>
      </c>
    </row>
    <row r="185" spans="1:6" x14ac:dyDescent="0.3">
      <c r="A185" s="1">
        <v>394</v>
      </c>
      <c r="B185" s="9" t="s">
        <v>495</v>
      </c>
      <c r="C185" s="1" t="str" cm="1">
        <f t="array" ref="C185">_xlfn.IFS(LEN(B185) &lt;= 25, "Short", AND(LEN(B185) &gt; 25, LEN(B185) &lt;= 50), "Medium", LEN(B185) &gt; 50, "Long")</f>
        <v>Medium</v>
      </c>
      <c r="D185" t="s">
        <v>79</v>
      </c>
      <c r="E185" s="1" t="s">
        <v>252</v>
      </c>
      <c r="F185" s="1" t="b">
        <f t="shared" si="8"/>
        <v>0</v>
      </c>
    </row>
    <row r="186" spans="1:6" x14ac:dyDescent="0.3">
      <c r="A186" s="1">
        <v>395</v>
      </c>
      <c r="B186" s="9" t="s">
        <v>26</v>
      </c>
      <c r="C186" s="1" t="str" cm="1">
        <f t="array" ref="C186">_xlfn.IFS(LEN(B186) &lt;= 25, "Short", AND(LEN(B186) &gt; 25, LEN(B186) &lt;= 50), "Medium", LEN(B186) &gt; 50, "Long")</f>
        <v>Short</v>
      </c>
      <c r="D186" t="s">
        <v>79</v>
      </c>
      <c r="E186" s="1" t="s">
        <v>79</v>
      </c>
      <c r="F186" s="1" t="b">
        <f t="shared" si="8"/>
        <v>1</v>
      </c>
    </row>
    <row r="187" spans="1:6" x14ac:dyDescent="0.3">
      <c r="A187" s="1">
        <v>396</v>
      </c>
      <c r="B187" s="9" t="s">
        <v>496</v>
      </c>
      <c r="C187" s="1" t="str" cm="1">
        <f t="array" ref="C187">_xlfn.IFS(LEN(B187) &lt;= 25, "Short", AND(LEN(B187) &gt; 25, LEN(B187) &lt;= 50), "Medium", LEN(B187) &gt; 50, "Long")</f>
        <v>Medium</v>
      </c>
      <c r="D187" t="s">
        <v>77</v>
      </c>
      <c r="E187" s="1" t="s">
        <v>77</v>
      </c>
      <c r="F187" s="1" t="b">
        <f t="shared" si="8"/>
        <v>1</v>
      </c>
    </row>
    <row r="188" spans="1:6" x14ac:dyDescent="0.3">
      <c r="A188" s="1">
        <v>397</v>
      </c>
      <c r="B188" s="9" t="s">
        <v>63</v>
      </c>
      <c r="C188" s="1" t="str" cm="1">
        <f t="array" ref="C188">_xlfn.IFS(LEN(B188) &lt;= 25, "Short", AND(LEN(B188) &gt; 25, LEN(B188) &lt;= 50), "Medium", LEN(B188) &gt; 50, "Long")</f>
        <v>Medium</v>
      </c>
      <c r="D188" t="s">
        <v>252</v>
      </c>
      <c r="E188" s="1" t="s">
        <v>252</v>
      </c>
      <c r="F188" s="1" t="b">
        <f t="shared" si="8"/>
        <v>1</v>
      </c>
    </row>
    <row r="189" spans="1:6" x14ac:dyDescent="0.3">
      <c r="A189" s="1">
        <v>398</v>
      </c>
      <c r="B189" s="9" t="s">
        <v>220</v>
      </c>
      <c r="C189" s="1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" t="b">
        <f t="shared" si="8"/>
        <v>1</v>
      </c>
    </row>
    <row r="190" spans="1:6" x14ac:dyDescent="0.3">
      <c r="A190" s="1">
        <v>399</v>
      </c>
      <c r="B190" s="9" t="s">
        <v>497</v>
      </c>
      <c r="C190" s="1" t="str" cm="1">
        <f t="array" ref="C190">_xlfn.IFS(LEN(B190) &lt;= 25, "Short", AND(LEN(B190) &gt; 25, LEN(B190) &lt;= 50), "Medium", LEN(B190) &gt; 50, "Long")</f>
        <v>Short</v>
      </c>
      <c r="D190" t="s">
        <v>77</v>
      </c>
      <c r="E190" s="1" t="s">
        <v>77</v>
      </c>
      <c r="F190" s="1" t="b">
        <f t="shared" si="8"/>
        <v>1</v>
      </c>
    </row>
    <row r="191" spans="1:6" x14ac:dyDescent="0.3">
      <c r="A191" s="1">
        <v>400</v>
      </c>
      <c r="B191" s="9" t="s">
        <v>498</v>
      </c>
      <c r="C191" s="1" t="str" cm="1">
        <f t="array" ref="C191">_xlfn.IFS(LEN(B191) &lt;= 25, "Short", AND(LEN(B191) &gt; 25, LEN(B191) &lt;= 50), "Medium", LEN(B191) &gt; 50, "Long")</f>
        <v>Short</v>
      </c>
      <c r="D191" t="s">
        <v>252</v>
      </c>
      <c r="E191" s="1" t="s">
        <v>81</v>
      </c>
      <c r="F191" s="1" t="b">
        <f t="shared" si="8"/>
        <v>0</v>
      </c>
    </row>
    <row r="192" spans="1:6" x14ac:dyDescent="0.3">
      <c r="A192" s="1">
        <v>401</v>
      </c>
      <c r="B192" s="9" t="s">
        <v>499</v>
      </c>
      <c r="C192" s="1" t="str" cm="1">
        <f t="array" ref="C192">_xlfn.IFS(LEN(B192) &lt;= 25, "Short", AND(LEN(B192) &gt; 25, LEN(B192) &lt;= 50), "Medium", LEN(B192) &gt; 50, "Long")</f>
        <v>Medium</v>
      </c>
      <c r="D192" t="s">
        <v>77</v>
      </c>
      <c r="E192" s="1" t="s">
        <v>82</v>
      </c>
      <c r="F192" s="1" t="b">
        <f t="shared" si="8"/>
        <v>0</v>
      </c>
    </row>
    <row r="193" spans="1:6" x14ac:dyDescent="0.3">
      <c r="A193" s="1">
        <v>402</v>
      </c>
      <c r="B193" s="9" t="s">
        <v>500</v>
      </c>
      <c r="C193" s="1" t="str" cm="1">
        <f t="array" ref="C193">_xlfn.IFS(LEN(B193) &lt;= 25, "Short", AND(LEN(B193) &gt; 25, LEN(B193) &lt;= 50), "Medium", LEN(B193) &gt; 50, "Long")</f>
        <v>Short</v>
      </c>
      <c r="D193" t="s">
        <v>77</v>
      </c>
      <c r="E193" s="1" t="s">
        <v>79</v>
      </c>
      <c r="F193" s="1" t="b">
        <f t="shared" si="8"/>
        <v>0</v>
      </c>
    </row>
    <row r="194" spans="1:6" x14ac:dyDescent="0.3">
      <c r="A194" s="1">
        <v>403</v>
      </c>
      <c r="B194" s="9" t="s">
        <v>501</v>
      </c>
      <c r="C194" s="1" t="str" cm="1">
        <f t="array" ref="C194">_xlfn.IFS(LEN(B194) &lt;= 25, "Short", AND(LEN(B194) &gt; 25, LEN(B194) &lt;= 50), "Medium", LEN(B194) &gt; 50, "Long")</f>
        <v>Medium</v>
      </c>
      <c r="D194" t="s">
        <v>81</v>
      </c>
      <c r="E194" s="1" t="s">
        <v>81</v>
      </c>
      <c r="F194" s="1" t="b">
        <f t="shared" si="8"/>
        <v>1</v>
      </c>
    </row>
    <row r="195" spans="1:6" x14ac:dyDescent="0.3">
      <c r="A195" s="1">
        <v>404</v>
      </c>
      <c r="B195" s="9" t="s">
        <v>502</v>
      </c>
      <c r="C195" s="1" t="str" cm="1">
        <f t="array" ref="C195">_xlfn.IFS(LEN(B195) &lt;= 25, "Short", AND(LEN(B195) &gt; 25, LEN(B195) &lt;= 50), "Medium", LEN(B195) &gt; 50, "Long")</f>
        <v>Short</v>
      </c>
      <c r="D195" t="s">
        <v>252</v>
      </c>
      <c r="E195" s="1" t="s">
        <v>252</v>
      </c>
      <c r="F195" s="1" t="b">
        <f t="shared" ref="F195:F211" si="9">IF(D195=E195, TRUE, FALSE)</f>
        <v>1</v>
      </c>
    </row>
    <row r="196" spans="1:6" x14ac:dyDescent="0.3">
      <c r="A196" s="1">
        <v>405</v>
      </c>
      <c r="B196" s="9" t="s">
        <v>32</v>
      </c>
      <c r="C196" s="1" t="str" cm="1">
        <f t="array" ref="C196">_xlfn.IFS(LEN(B196) &lt;= 25, "Short", AND(LEN(B196) &gt; 25, LEN(B196) &lt;= 50), "Medium", LEN(B196) &gt; 50, "Long")</f>
        <v>Medium</v>
      </c>
      <c r="D196" t="s">
        <v>76</v>
      </c>
      <c r="E196" s="1" t="s">
        <v>76</v>
      </c>
      <c r="F196" s="1" t="b">
        <f t="shared" si="9"/>
        <v>1</v>
      </c>
    </row>
    <row r="197" spans="1:6" x14ac:dyDescent="0.3">
      <c r="A197" s="1">
        <v>406</v>
      </c>
      <c r="B197" s="9" t="s">
        <v>223</v>
      </c>
      <c r="C197" s="1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" t="b">
        <f t="shared" si="9"/>
        <v>1</v>
      </c>
    </row>
    <row r="198" spans="1:6" x14ac:dyDescent="0.3">
      <c r="A198" s="1">
        <v>407</v>
      </c>
      <c r="B198" s="9" t="s">
        <v>224</v>
      </c>
      <c r="C198" s="1" t="str" cm="1">
        <f t="array" ref="C198">_xlfn.IFS(LEN(B198) &lt;= 25, "Short", AND(LEN(B198) &gt; 25, LEN(B198) &lt;= 50), "Medium", LEN(B198) &gt; 50, "Long")</f>
        <v>Short</v>
      </c>
      <c r="D198" t="s">
        <v>252</v>
      </c>
      <c r="E198" s="1" t="s">
        <v>252</v>
      </c>
      <c r="F198" s="1" t="b">
        <f t="shared" si="9"/>
        <v>1</v>
      </c>
    </row>
    <row r="199" spans="1:6" x14ac:dyDescent="0.3">
      <c r="A199" s="1">
        <v>408</v>
      </c>
      <c r="B199" s="9" t="s">
        <v>503</v>
      </c>
      <c r="C199" s="1" t="str" cm="1">
        <f t="array" ref="C199">_xlfn.IFS(LEN(B199) &lt;= 25, "Short", AND(LEN(B199) &gt; 25, LEN(B199) &lt;= 50), "Medium", LEN(B199) &gt; 50, "Long")</f>
        <v>Medium</v>
      </c>
      <c r="D199" t="s">
        <v>81</v>
      </c>
      <c r="E199" s="1" t="s">
        <v>82</v>
      </c>
      <c r="F199" s="1" t="b">
        <f t="shared" si="9"/>
        <v>0</v>
      </c>
    </row>
    <row r="200" spans="1:6" x14ac:dyDescent="0.3">
      <c r="A200" s="1">
        <v>409</v>
      </c>
      <c r="B200" s="9" t="s">
        <v>504</v>
      </c>
      <c r="C200" s="1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" t="b">
        <f t="shared" si="9"/>
        <v>1</v>
      </c>
    </row>
    <row r="201" spans="1:6" x14ac:dyDescent="0.3">
      <c r="A201" s="1">
        <v>410</v>
      </c>
      <c r="B201" s="9" t="s">
        <v>117</v>
      </c>
      <c r="C201" s="1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" t="b">
        <f t="shared" si="9"/>
        <v>1</v>
      </c>
    </row>
    <row r="202" spans="1:6" x14ac:dyDescent="0.3">
      <c r="A202" s="1">
        <v>411</v>
      </c>
      <c r="B202" s="9" t="s">
        <v>505</v>
      </c>
      <c r="C202" s="1" t="str" cm="1">
        <f t="array" ref="C202">_xlfn.IFS(LEN(B202) &lt;= 25, "Short", AND(LEN(B202) &gt; 25, LEN(B202) &lt;= 50), "Medium", LEN(B202) &gt; 50, "Long")</f>
        <v>Medium</v>
      </c>
      <c r="D202" t="s">
        <v>77</v>
      </c>
      <c r="E202" s="1" t="s">
        <v>82</v>
      </c>
      <c r="F202" s="1" t="b">
        <f t="shared" si="9"/>
        <v>0</v>
      </c>
    </row>
    <row r="203" spans="1:6" x14ac:dyDescent="0.3">
      <c r="A203" s="1">
        <v>412</v>
      </c>
      <c r="B203" s="9" t="s">
        <v>506</v>
      </c>
      <c r="C203" s="1" t="str" cm="1">
        <f t="array" ref="C203">_xlfn.IFS(LEN(B203) &lt;= 25, "Short", AND(LEN(B203) &gt; 25, LEN(B203) &lt;= 50), "Medium", LEN(B203) &gt; 50, "Long")</f>
        <v>Medium</v>
      </c>
      <c r="D203" t="s">
        <v>77</v>
      </c>
      <c r="E203" s="1" t="s">
        <v>82</v>
      </c>
      <c r="F203" s="1" t="b">
        <f t="shared" si="9"/>
        <v>0</v>
      </c>
    </row>
    <row r="204" spans="1:6" x14ac:dyDescent="0.3">
      <c r="A204" s="1">
        <v>413</v>
      </c>
      <c r="B204" s="9" t="s">
        <v>507</v>
      </c>
      <c r="C204" s="1" t="str" cm="1">
        <f t="array" ref="C204">_xlfn.IFS(LEN(B204) &lt;= 25, "Short", AND(LEN(B204) &gt; 25, LEN(B204) &lt;= 50), "Medium", LEN(B204) &gt; 50, "Long")</f>
        <v>Short</v>
      </c>
      <c r="D204" t="s">
        <v>80</v>
      </c>
      <c r="E204" s="1" t="s">
        <v>80</v>
      </c>
      <c r="F204" s="1" t="b">
        <f t="shared" si="9"/>
        <v>1</v>
      </c>
    </row>
    <row r="205" spans="1:6" x14ac:dyDescent="0.3">
      <c r="A205" s="1">
        <v>414</v>
      </c>
      <c r="B205" s="9" t="s">
        <v>349</v>
      </c>
      <c r="C205" s="1" t="str" cm="1">
        <f t="array" ref="C205">_xlfn.IFS(LEN(B205) &lt;= 25, "Short", AND(LEN(B205) &gt; 25, LEN(B205) &lt;= 50), "Medium", LEN(B205) &gt; 50, "Long")</f>
        <v>Short</v>
      </c>
      <c r="D205" t="s">
        <v>252</v>
      </c>
      <c r="E205" s="1" t="s">
        <v>81</v>
      </c>
      <c r="F205" s="1" t="b">
        <f t="shared" si="9"/>
        <v>0</v>
      </c>
    </row>
    <row r="206" spans="1:6" x14ac:dyDescent="0.3">
      <c r="A206" s="1">
        <v>415</v>
      </c>
      <c r="B206" s="9" t="s">
        <v>22</v>
      </c>
      <c r="C206" s="1" t="str" cm="1">
        <f t="array" ref="C206">_xlfn.IFS(LEN(B206) &lt;= 25, "Short", AND(LEN(B206) &gt; 25, LEN(B206) &lt;= 50), "Medium", LEN(B206) &gt; 50, "Long")</f>
        <v>Short</v>
      </c>
      <c r="D206" t="s">
        <v>79</v>
      </c>
      <c r="E206" s="1" t="s">
        <v>80</v>
      </c>
      <c r="F206" s="1" t="b">
        <f t="shared" si="9"/>
        <v>0</v>
      </c>
    </row>
    <row r="207" spans="1:6" x14ac:dyDescent="0.3">
      <c r="A207" s="1">
        <v>416</v>
      </c>
      <c r="B207" s="9" t="s">
        <v>508</v>
      </c>
      <c r="C207" s="1" t="str" cm="1">
        <f t="array" ref="C207">_xlfn.IFS(LEN(B207) &lt;= 25, "Short", AND(LEN(B207) &gt; 25, LEN(B207) &lt;= 50), "Medium", LEN(B207) &gt; 50, "Long")</f>
        <v>Medium</v>
      </c>
      <c r="D207" t="s">
        <v>252</v>
      </c>
      <c r="E207" s="1" t="s">
        <v>252</v>
      </c>
      <c r="F207" s="1" t="b">
        <f t="shared" si="9"/>
        <v>1</v>
      </c>
    </row>
    <row r="208" spans="1:6" x14ac:dyDescent="0.3">
      <c r="A208" s="1">
        <v>417</v>
      </c>
      <c r="B208" s="9" t="s">
        <v>509</v>
      </c>
      <c r="C208" s="1" t="str" cm="1">
        <f t="array" ref="C208">_xlfn.IFS(LEN(B208) &lt;= 25, "Short", AND(LEN(B208) &gt; 25, LEN(B208) &lt;= 50), "Medium", LEN(B208) &gt; 50, "Long")</f>
        <v>Long</v>
      </c>
      <c r="D208" t="s">
        <v>252</v>
      </c>
      <c r="E208" s="1" t="s">
        <v>252</v>
      </c>
      <c r="F208" s="1" t="b">
        <f t="shared" si="9"/>
        <v>1</v>
      </c>
    </row>
    <row r="209" spans="1:6" x14ac:dyDescent="0.3">
      <c r="A209" s="1">
        <v>418</v>
      </c>
      <c r="B209" s="9" t="s">
        <v>227</v>
      </c>
      <c r="C209" s="1" t="str" cm="1">
        <f t="array" ref="C209">_xlfn.IFS(LEN(B209) &lt;= 25, "Short", AND(LEN(B209) &gt; 25, LEN(B209) &lt;= 50), "Medium", LEN(B209) &gt; 50, "Long")</f>
        <v>Medium</v>
      </c>
      <c r="D209" t="s">
        <v>80</v>
      </c>
      <c r="E209" s="1" t="s">
        <v>80</v>
      </c>
      <c r="F209" s="1" t="b">
        <f t="shared" si="9"/>
        <v>1</v>
      </c>
    </row>
    <row r="210" spans="1:6" x14ac:dyDescent="0.3">
      <c r="A210" s="1">
        <v>419</v>
      </c>
      <c r="B210" s="9" t="s">
        <v>510</v>
      </c>
      <c r="C210" s="1" t="str" cm="1">
        <f t="array" ref="C210">_xlfn.IFS(LEN(B210) &lt;= 25, "Short", AND(LEN(B210) &gt; 25, LEN(B210) &lt;= 50), "Medium", LEN(B210) &gt; 50, "Long")</f>
        <v>Long</v>
      </c>
      <c r="D210" t="s">
        <v>76</v>
      </c>
      <c r="E210" s="1" t="s">
        <v>252</v>
      </c>
      <c r="F210" s="1" t="b">
        <f t="shared" si="9"/>
        <v>0</v>
      </c>
    </row>
    <row r="211" spans="1:6" x14ac:dyDescent="0.3">
      <c r="A211" s="1">
        <v>420</v>
      </c>
      <c r="B211" s="9" t="s">
        <v>228</v>
      </c>
      <c r="C211" s="1" t="str" cm="1">
        <f t="array" ref="C211">_xlfn.IFS(LEN(B211) &lt;= 25, "Short", AND(LEN(B211) &gt; 25, LEN(B211) &lt;= 50), "Medium", LEN(B211) &gt; 50, "Long")</f>
        <v>Medium</v>
      </c>
      <c r="D211" t="s">
        <v>79</v>
      </c>
      <c r="E211" s="1" t="s">
        <v>79</v>
      </c>
      <c r="F211" s="1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1">
        <f>COUNTA(C2:C210)</f>
        <v>209</v>
      </c>
      <c r="J2" s="1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0" t="s">
        <v>237</v>
      </c>
      <c r="J4" s="10"/>
      <c r="K4" s="10"/>
      <c r="L4" s="1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1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1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1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1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1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1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1" t="s">
        <v>240</v>
      </c>
      <c r="J14" s="1" t="s">
        <v>238</v>
      </c>
      <c r="K14" s="1" t="s">
        <v>239</v>
      </c>
      <c r="L14" s="1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1" t="s">
        <v>241</v>
      </c>
      <c r="J15" s="1">
        <f>COUNTIF(D2:D210, "&lt;=25")</f>
        <v>96</v>
      </c>
      <c r="K15" s="1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1" t="s">
        <v>242</v>
      </c>
      <c r="J16" s="1">
        <f>COUNTIFS(D2:D210, "&gt;25", D2:D210, "&lt;=50")</f>
        <v>95</v>
      </c>
      <c r="K16" s="1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1" t="s">
        <v>243</v>
      </c>
      <c r="J17" s="1">
        <f>COUNTIF(D2:D210, "&gt;50")</f>
        <v>18</v>
      </c>
      <c r="K17" s="1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0" t="s">
        <v>247</v>
      </c>
      <c r="J19" s="10"/>
      <c r="K19" s="1"/>
      <c r="L19" s="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1" t="s">
        <v>248</v>
      </c>
      <c r="J20" s="1" t="s">
        <v>249</v>
      </c>
      <c r="K20" s="1" t="s">
        <v>246</v>
      </c>
      <c r="L20" s="1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1" t="s">
        <v>80</v>
      </c>
      <c r="J21" s="1" t="s">
        <v>77</v>
      </c>
      <c r="K21" s="1">
        <f>COUNTIFS($E$2:$E$71, J21, $F$2:$F$71, I21)</f>
        <v>2</v>
      </c>
      <c r="L21" s="6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1" t="s">
        <v>245</v>
      </c>
      <c r="J22" s="1" t="s">
        <v>77</v>
      </c>
      <c r="K22" s="1">
        <f>COUNTIFS($E$2:$E$71, J22, $F$2:$F$71, I22)</f>
        <v>0</v>
      </c>
      <c r="L22" s="6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1" t="s">
        <v>77</v>
      </c>
      <c r="J23" s="1" t="s">
        <v>80</v>
      </c>
      <c r="K23" s="1">
        <f t="shared" ref="K23:K25" si="6">COUNTIFS($E$2:$E$71, J23, $F$2:$F$71, I23)</f>
        <v>0</v>
      </c>
      <c r="L23" s="6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1" t="s">
        <v>77</v>
      </c>
      <c r="J24" s="1" t="s">
        <v>245</v>
      </c>
      <c r="K24" s="1">
        <f t="shared" si="6"/>
        <v>0</v>
      </c>
      <c r="L24" s="6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1" t="s">
        <v>78</v>
      </c>
      <c r="J25" s="1" t="s">
        <v>81</v>
      </c>
      <c r="K25" s="1">
        <f t="shared" si="6"/>
        <v>0</v>
      </c>
      <c r="L25" s="6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1" t="s">
        <v>81</v>
      </c>
      <c r="J26" s="1" t="s">
        <v>78</v>
      </c>
      <c r="K26" s="1">
        <f>COUNTIFS($E$2:$E$71, J26, $F$2:$F$71, I26)</f>
        <v>2</v>
      </c>
      <c r="L26" s="6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1" t="s">
        <v>245</v>
      </c>
      <c r="J27" s="1" t="s">
        <v>80</v>
      </c>
      <c r="K27" s="1">
        <f>COUNTIFS($E$2:$E$71, J27, $F$2:$F$71, I27)</f>
        <v>0</v>
      </c>
      <c r="L27" s="6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1" t="s">
        <v>80</v>
      </c>
      <c r="J28" s="1" t="s">
        <v>245</v>
      </c>
      <c r="K28" s="1">
        <f>COUNTIFS($E$2:$E$71, J28, $F$2:$F$71, I28)</f>
        <v>0</v>
      </c>
      <c r="L28" s="6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" t="s">
        <v>76</v>
      </c>
      <c r="J29" s="1" t="s">
        <v>245</v>
      </c>
      <c r="K29" s="1">
        <f t="shared" ref="K29:K32" si="7">COUNTIFS($E$2:$E$71, J29, $F$2:$F$71, I29)</f>
        <v>0</v>
      </c>
      <c r="L29" s="6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" t="s">
        <v>245</v>
      </c>
      <c r="J30" s="1" t="s">
        <v>76</v>
      </c>
      <c r="K30" s="1">
        <f t="shared" si="7"/>
        <v>0</v>
      </c>
      <c r="L30" s="6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" t="s">
        <v>76</v>
      </c>
      <c r="J31" s="1" t="s">
        <v>80</v>
      </c>
      <c r="K31" s="1">
        <f t="shared" si="7"/>
        <v>0</v>
      </c>
      <c r="L31" s="6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" t="s">
        <v>80</v>
      </c>
      <c r="J32" s="1" t="s">
        <v>76</v>
      </c>
      <c r="K32" s="1">
        <f t="shared" si="7"/>
        <v>4</v>
      </c>
      <c r="L32" s="6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2025-03-07T09:34:27Z</dcterms:created>
  <dcterms:modified xsi:type="dcterms:W3CDTF">2025-09-16T19:43:00Z</dcterms:modified>
</cp:coreProperties>
</file>